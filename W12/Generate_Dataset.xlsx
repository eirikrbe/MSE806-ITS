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myacg-my.sharepoint.com/personal/mukesh_mishra_yoobeecolleges_com/Documents/Desktop/"/>
    </mc:Choice>
  </mc:AlternateContent>
  <xr:revisionPtr revIDLastSave="370" documentId="11_F25DC773A252ABDACC10489C599B7A0A5ADE58EE" xr6:coauthVersionLast="47" xr6:coauthVersionMax="47" xr10:uidLastSave="{EDB007C9-CFE4-4026-BE2C-4F8188E4BD69}"/>
  <bookViews>
    <workbookView xWindow="-110" yWindow="-110" windowWidth="19420" windowHeight="1150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2" i="1"/>
  <c r="F2" i="2"/>
  <c r="I3" i="2"/>
  <c r="I4" i="2"/>
  <c r="I5" i="2"/>
  <c r="I6" i="2"/>
  <c r="I7" i="2"/>
  <c r="I8" i="2"/>
  <c r="I9" i="2"/>
  <c r="I10" i="2"/>
  <c r="I2" i="2"/>
  <c r="H3" i="2"/>
  <c r="H4" i="2"/>
  <c r="H5" i="2"/>
  <c r="H6" i="2"/>
  <c r="H7" i="2"/>
  <c r="H8" i="2"/>
  <c r="H9" i="2"/>
  <c r="H10" i="2"/>
  <c r="H2" i="2"/>
  <c r="G3" i="2"/>
  <c r="G4" i="2"/>
  <c r="G5" i="2"/>
  <c r="G6" i="2"/>
  <c r="G7" i="2"/>
  <c r="G8" i="2"/>
  <c r="G9" i="2"/>
  <c r="G10" i="2"/>
  <c r="G2" i="2"/>
  <c r="F3" i="2"/>
  <c r="F4" i="2"/>
  <c r="F5" i="2"/>
  <c r="F6" i="2"/>
  <c r="F7" i="2"/>
  <c r="F8" i="2"/>
  <c r="F9" i="2"/>
  <c r="F10" i="2"/>
  <c r="E3" i="2"/>
  <c r="E4" i="2"/>
  <c r="E5" i="2"/>
  <c r="E6" i="2"/>
  <c r="E7" i="2"/>
  <c r="E8" i="2"/>
  <c r="E9" i="2"/>
  <c r="E10" i="2"/>
  <c r="C12" i="2"/>
  <c r="C21" i="2" s="1"/>
  <c r="C13" i="2"/>
  <c r="C22" i="2" s="1"/>
  <c r="C14" i="2"/>
  <c r="E14" i="2" s="1"/>
  <c r="F14" i="2" s="1"/>
  <c r="C15" i="2"/>
  <c r="C24" i="2" s="1"/>
  <c r="C33" i="2" s="1"/>
  <c r="C42" i="2" s="1"/>
  <c r="C16" i="2"/>
  <c r="C25" i="2" s="1"/>
  <c r="C34" i="2" s="1"/>
  <c r="C43" i="2" s="1"/>
  <c r="C17" i="2"/>
  <c r="C26" i="2" s="1"/>
  <c r="C35" i="2" s="1"/>
  <c r="C44" i="2" s="1"/>
  <c r="C53" i="2" s="1"/>
  <c r="E53" i="2" s="1"/>
  <c r="F53" i="2" s="1"/>
  <c r="C18" i="2"/>
  <c r="C27" i="2" s="1"/>
  <c r="C36" i="2" s="1"/>
  <c r="C45" i="2" s="1"/>
  <c r="C54" i="2" s="1"/>
  <c r="E54" i="2" s="1"/>
  <c r="F54" i="2" s="1"/>
  <c r="C19" i="2"/>
  <c r="E19" i="2" s="1"/>
  <c r="G19" i="2" s="1"/>
  <c r="C11" i="2"/>
  <c r="C20" i="2" s="1"/>
  <c r="C29" i="2" s="1"/>
  <c r="C38" i="2" s="1"/>
  <c r="C47" i="2" s="1"/>
  <c r="E47" i="2" s="1"/>
  <c r="G47" i="2" s="1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11" i="2"/>
  <c r="H3" i="1"/>
  <c r="H4" i="1"/>
  <c r="H5" i="1"/>
  <c r="H6" i="1"/>
  <c r="H7" i="1"/>
  <c r="H8" i="1"/>
  <c r="H9" i="1"/>
  <c r="H10" i="1"/>
  <c r="H2" i="1"/>
  <c r="G3" i="1"/>
  <c r="G4" i="1"/>
  <c r="G5" i="1"/>
  <c r="G6" i="1"/>
  <c r="G7" i="1"/>
  <c r="G8" i="1"/>
  <c r="G9" i="1"/>
  <c r="G10" i="1"/>
  <c r="G2" i="1"/>
  <c r="F3" i="1"/>
  <c r="F4" i="1"/>
  <c r="F5" i="1"/>
  <c r="F6" i="1"/>
  <c r="F7" i="1"/>
  <c r="F8" i="1"/>
  <c r="F9" i="1"/>
  <c r="F10" i="1"/>
  <c r="F2" i="1"/>
  <c r="D3" i="1"/>
  <c r="D4" i="1"/>
  <c r="D5" i="1"/>
  <c r="D6" i="1"/>
  <c r="D7" i="1"/>
  <c r="D8" i="1"/>
  <c r="D9" i="1"/>
  <c r="D10" i="1"/>
  <c r="D2" i="1"/>
  <c r="H53" i="2" l="1"/>
  <c r="I53" i="2" s="1"/>
  <c r="H54" i="2"/>
  <c r="I54" i="2" s="1"/>
  <c r="H47" i="2"/>
  <c r="I47" i="2" s="1"/>
  <c r="H19" i="2"/>
  <c r="I19" i="2" s="1"/>
  <c r="G14" i="2"/>
  <c r="H14" i="2"/>
  <c r="I14" i="2" s="1"/>
  <c r="F47" i="2"/>
  <c r="E29" i="2"/>
  <c r="H29" i="2" s="1"/>
  <c r="I29" i="2" s="1"/>
  <c r="G54" i="2"/>
  <c r="F19" i="2"/>
  <c r="G53" i="2"/>
  <c r="C28" i="2"/>
  <c r="C52" i="2"/>
  <c r="E52" i="2" s="1"/>
  <c r="H52" i="2" s="1"/>
  <c r="I52" i="2" s="1"/>
  <c r="E43" i="2"/>
  <c r="H43" i="2" s="1"/>
  <c r="I43" i="2" s="1"/>
  <c r="C51" i="2"/>
  <c r="E51" i="2" s="1"/>
  <c r="H51" i="2" s="1"/>
  <c r="I51" i="2" s="1"/>
  <c r="E42" i="2"/>
  <c r="H42" i="2" s="1"/>
  <c r="I42" i="2" s="1"/>
  <c r="E36" i="2"/>
  <c r="H36" i="2" s="1"/>
  <c r="I36" i="2" s="1"/>
  <c r="E35" i="2"/>
  <c r="H35" i="2" s="1"/>
  <c r="I35" i="2" s="1"/>
  <c r="E27" i="2"/>
  <c r="H27" i="2" s="1"/>
  <c r="I27" i="2" s="1"/>
  <c r="E26" i="2"/>
  <c r="H26" i="2" s="1"/>
  <c r="I26" i="2" s="1"/>
  <c r="E16" i="2"/>
  <c r="H16" i="2" s="1"/>
  <c r="I16" i="2" s="1"/>
  <c r="E15" i="2"/>
  <c r="H15" i="2" s="1"/>
  <c r="I15" i="2" s="1"/>
  <c r="E11" i="2"/>
  <c r="H11" i="2" s="1"/>
  <c r="I11" i="2" s="1"/>
  <c r="E44" i="2"/>
  <c r="H44" i="2" s="1"/>
  <c r="I44" i="2" s="1"/>
  <c r="E38" i="2"/>
  <c r="H38" i="2" s="1"/>
  <c r="I38" i="2" s="1"/>
  <c r="C31" i="2"/>
  <c r="E22" i="2"/>
  <c r="H22" i="2" s="1"/>
  <c r="I22" i="2" s="1"/>
  <c r="C30" i="2"/>
  <c r="E21" i="2"/>
  <c r="H21" i="2" s="1"/>
  <c r="I21" i="2" s="1"/>
  <c r="E25" i="2"/>
  <c r="H25" i="2" s="1"/>
  <c r="I25" i="2" s="1"/>
  <c r="C23" i="2"/>
  <c r="E34" i="2"/>
  <c r="H34" i="2" s="1"/>
  <c r="I34" i="2" s="1"/>
  <c r="E20" i="2"/>
  <c r="H20" i="2" s="1"/>
  <c r="I20" i="2" s="1"/>
  <c r="E13" i="2"/>
  <c r="H13" i="2" s="1"/>
  <c r="I13" i="2" s="1"/>
  <c r="E12" i="2"/>
  <c r="H12" i="2" s="1"/>
  <c r="I12" i="2" s="1"/>
  <c r="E24" i="2"/>
  <c r="H24" i="2" s="1"/>
  <c r="I24" i="2" s="1"/>
  <c r="E33" i="2"/>
  <c r="H33" i="2" s="1"/>
  <c r="I33" i="2" s="1"/>
  <c r="E18" i="2"/>
  <c r="H18" i="2" s="1"/>
  <c r="I18" i="2" s="1"/>
  <c r="E45" i="2"/>
  <c r="H45" i="2" s="1"/>
  <c r="I45" i="2" s="1"/>
  <c r="E17" i="2"/>
  <c r="H17" i="2" s="1"/>
  <c r="I17" i="2" s="1"/>
  <c r="F29" i="2" l="1"/>
  <c r="G29" i="2"/>
  <c r="F12" i="2"/>
  <c r="G12" i="2"/>
  <c r="F21" i="2"/>
  <c r="G21" i="2"/>
  <c r="F15" i="2"/>
  <c r="G15" i="2"/>
  <c r="F13" i="2"/>
  <c r="G13" i="2"/>
  <c r="F20" i="2"/>
  <c r="G20" i="2"/>
  <c r="F35" i="2"/>
  <c r="G35" i="2"/>
  <c r="F36" i="2"/>
  <c r="G36" i="2"/>
  <c r="F51" i="2"/>
  <c r="G51" i="2"/>
  <c r="F52" i="2"/>
  <c r="G52" i="2"/>
  <c r="F17" i="2"/>
  <c r="G17" i="2"/>
  <c r="F18" i="2"/>
  <c r="G18" i="2"/>
  <c r="F44" i="2"/>
  <c r="G44" i="2"/>
  <c r="F24" i="2"/>
  <c r="G24" i="2"/>
  <c r="F16" i="2"/>
  <c r="G16" i="2"/>
  <c r="F26" i="2"/>
  <c r="G26" i="2"/>
  <c r="F27" i="2"/>
  <c r="G27" i="2"/>
  <c r="F34" i="2"/>
  <c r="G34" i="2"/>
  <c r="F25" i="2"/>
  <c r="G25" i="2"/>
  <c r="F42" i="2"/>
  <c r="G42" i="2"/>
  <c r="F43" i="2"/>
  <c r="G43" i="2"/>
  <c r="F22" i="2"/>
  <c r="G22" i="2"/>
  <c r="F45" i="2"/>
  <c r="G45" i="2"/>
  <c r="F38" i="2"/>
  <c r="G38" i="2"/>
  <c r="F33" i="2"/>
  <c r="G33" i="2"/>
  <c r="F11" i="2"/>
  <c r="G11" i="2"/>
  <c r="C37" i="2"/>
  <c r="E28" i="2"/>
  <c r="H28" i="2" s="1"/>
  <c r="I28" i="2" s="1"/>
  <c r="C32" i="2"/>
  <c r="E23" i="2"/>
  <c r="H23" i="2" s="1"/>
  <c r="I23" i="2" s="1"/>
  <c r="E30" i="2"/>
  <c r="H30" i="2" s="1"/>
  <c r="I30" i="2" s="1"/>
  <c r="C39" i="2"/>
  <c r="C40" i="2"/>
  <c r="E31" i="2"/>
  <c r="H31" i="2" s="1"/>
  <c r="I31" i="2" s="1"/>
  <c r="E2" i="2"/>
  <c r="F23" i="2" l="1"/>
  <c r="G23" i="2"/>
  <c r="F28" i="2"/>
  <c r="G28" i="2"/>
  <c r="F31" i="2"/>
  <c r="G31" i="2"/>
  <c r="F30" i="2"/>
  <c r="G30" i="2"/>
  <c r="C46" i="2"/>
  <c r="E37" i="2"/>
  <c r="H37" i="2" s="1"/>
  <c r="I37" i="2" s="1"/>
  <c r="C49" i="2"/>
  <c r="E49" i="2" s="1"/>
  <c r="H49" i="2" s="1"/>
  <c r="I49" i="2" s="1"/>
  <c r="E40" i="2"/>
  <c r="H40" i="2" s="1"/>
  <c r="I40" i="2" s="1"/>
  <c r="C48" i="2"/>
  <c r="E48" i="2" s="1"/>
  <c r="H48" i="2" s="1"/>
  <c r="I48" i="2" s="1"/>
  <c r="E39" i="2"/>
  <c r="H39" i="2" s="1"/>
  <c r="I39" i="2" s="1"/>
  <c r="C41" i="2"/>
  <c r="E32" i="2"/>
  <c r="H32" i="2" s="1"/>
  <c r="I32" i="2" s="1"/>
  <c r="F49" i="2" l="1"/>
  <c r="G49" i="2"/>
  <c r="F37" i="2"/>
  <c r="G37" i="2"/>
  <c r="F32" i="2"/>
  <c r="G32" i="2"/>
  <c r="F39" i="2"/>
  <c r="G39" i="2"/>
  <c r="F48" i="2"/>
  <c r="G48" i="2"/>
  <c r="F40" i="2"/>
  <c r="G40" i="2"/>
  <c r="C55" i="2"/>
  <c r="E55" i="2" s="1"/>
  <c r="H55" i="2" s="1"/>
  <c r="I55" i="2" s="1"/>
  <c r="E46" i="2"/>
  <c r="H46" i="2" s="1"/>
  <c r="I46" i="2" s="1"/>
  <c r="C50" i="2"/>
  <c r="E50" i="2" s="1"/>
  <c r="H50" i="2" s="1"/>
  <c r="I50" i="2" s="1"/>
  <c r="E41" i="2"/>
  <c r="H41" i="2" s="1"/>
  <c r="I41" i="2" s="1"/>
  <c r="F55" i="2" l="1"/>
  <c r="G55" i="2"/>
  <c r="F41" i="2"/>
  <c r="G41" i="2"/>
  <c r="F46" i="2"/>
  <c r="G46" i="2"/>
  <c r="F50" i="2"/>
  <c r="G50" i="2"/>
</calcChain>
</file>

<file path=xl/sharedStrings.xml><?xml version="1.0" encoding="utf-8"?>
<sst xmlns="http://schemas.openxmlformats.org/spreadsheetml/2006/main" count="80" uniqueCount="19">
  <si>
    <t>road_segment_id (Categorical)</t>
  </si>
  <si>
    <t>rho_current (Numeric (Vehicles/km))</t>
  </si>
  <si>
    <t>rho_past (Numeric (Vehicles/km))</t>
  </si>
  <si>
    <t>rho_estimated (Numeric (Vehicles/km))</t>
  </si>
  <si>
    <t>active_event (Categorical)</t>
  </si>
  <si>
    <t>packet_delivery_ratio (Numeric)</t>
  </si>
  <si>
    <t>recommended_route (Categorical)</t>
  </si>
  <si>
    <t>trip_time_minutes (Numeric)</t>
  </si>
  <si>
    <t>FG</t>
  </si>
  <si>
    <t>GB</t>
  </si>
  <si>
    <t>BD (School Zone)</t>
  </si>
  <si>
    <t>DP</t>
  </si>
  <si>
    <t>FH</t>
  </si>
  <si>
    <t>HM</t>
  </si>
  <si>
    <t>MN</t>
  </si>
  <si>
    <t>NP</t>
  </si>
  <si>
    <t>AD</t>
  </si>
  <si>
    <t>time_step</t>
  </si>
  <si>
    <t>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</si>
</sst>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1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zoomScale="94" zoomScaleNormal="94" workbookViewId="0">
      <selection activeCell="B2" sqref="B2"/>
    </sheetView>
  </sheetViews>
  <sheetFormatPr defaultRowHeight="14.5" x14ac:dyDescent="0.35"/>
  <cols>
    <col min="1" max="1" width="15.7265625" customWidth="1"/>
    <col min="2" max="3" width="15.54296875" customWidth="1"/>
    <col min="4" max="4" width="14.54296875" customWidth="1"/>
    <col min="5" max="5" width="11.1796875" customWidth="1"/>
    <col min="6" max="6" width="19.54296875" customWidth="1"/>
    <col min="7" max="7" width="18.1796875" customWidth="1"/>
    <col min="8" max="8" width="15.7265625" customWidth="1"/>
    <col min="9" max="9" width="14.7265625" customWidth="1"/>
    <col min="10" max="10" width="15.1796875" customWidth="1"/>
    <col min="11" max="11" width="12" customWidth="1"/>
    <col min="12" max="12" width="15.54296875" customWidth="1"/>
    <col min="13" max="13" width="17.453125" customWidth="1"/>
    <col min="14" max="14" width="18.7265625" customWidth="1"/>
    <col min="15" max="15" width="17.54296875" customWidth="1"/>
    <col min="16" max="16" width="17.1796875" customWidth="1"/>
  </cols>
  <sheetData>
    <row r="1" spans="1:16" ht="58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/>
    </row>
    <row r="2" spans="1:16" x14ac:dyDescent="0.35">
      <c r="A2" t="s">
        <v>8</v>
      </c>
      <c r="B2">
        <v>146</v>
      </c>
      <c r="C2">
        <v>40</v>
      </c>
      <c r="D2">
        <f>(0.6 * B2) + (0.4 * C2)</f>
        <v>103.6</v>
      </c>
      <c r="E2" t="str">
        <f>IF(AND(A2="BD", D2&gt;120), "Accident", IF(A2="AD", "Construction", "None"))</f>
        <v>None</v>
      </c>
      <c r="F2">
        <f>ROUND(0.95 - (0.35 * (D2 / 200)), 3)</f>
        <v>0.76900000000000002</v>
      </c>
      <c r="G2" t="str">
        <f>IF(D2 &gt; 120, "Route_2", "Route_1")</f>
        <v>Route_1</v>
      </c>
      <c r="H2">
        <f>IF(G2 = "Route_2", 3.02, 5.2)</f>
        <v>5.2</v>
      </c>
      <c r="I2" s="2"/>
      <c r="J2" s="3"/>
      <c r="K2" s="2"/>
      <c r="N2" s="2"/>
      <c r="O2" s="2"/>
      <c r="P2" s="2"/>
    </row>
    <row r="3" spans="1:16" x14ac:dyDescent="0.35">
      <c r="A3" t="s">
        <v>9</v>
      </c>
      <c r="B3">
        <v>150</v>
      </c>
      <c r="C3">
        <v>45</v>
      </c>
      <c r="D3">
        <f t="shared" ref="D3:D10" si="0">(0.6 * B3) + (0.4 * C3)</f>
        <v>108</v>
      </c>
      <c r="E3" t="str">
        <f t="shared" ref="E3:E10" si="1">IF(AND(A3="BD", D3&gt;120), "Accident", IF(A3="AD", "Construction", "None"))</f>
        <v>None</v>
      </c>
      <c r="F3">
        <f t="shared" ref="F3:F10" si="2">ROUND(0.95 - (0.35 * (D3 / 200)), 3)</f>
        <v>0.76100000000000001</v>
      </c>
      <c r="G3" t="str">
        <f t="shared" ref="G3:G10" si="3">IF(D3 &gt; 120, "Route_2", "Route_1")</f>
        <v>Route_1</v>
      </c>
      <c r="H3">
        <f t="shared" ref="H3:H10" si="4">IF(G3 = "Route_2", 3.02, 5.2)</f>
        <v>5.2</v>
      </c>
      <c r="I3" s="2"/>
      <c r="J3" s="3"/>
      <c r="K3" s="2"/>
      <c r="N3" s="2"/>
      <c r="O3" s="2"/>
      <c r="P3" s="2"/>
    </row>
    <row r="4" spans="1:16" x14ac:dyDescent="0.35">
      <c r="A4" t="s">
        <v>10</v>
      </c>
      <c r="B4">
        <v>175</v>
      </c>
      <c r="C4">
        <v>50</v>
      </c>
      <c r="D4">
        <f t="shared" si="0"/>
        <v>125</v>
      </c>
      <c r="E4" t="str">
        <f t="shared" si="1"/>
        <v>None</v>
      </c>
      <c r="F4">
        <f t="shared" si="2"/>
        <v>0.73099999999999998</v>
      </c>
      <c r="G4" t="str">
        <f t="shared" si="3"/>
        <v>Route_2</v>
      </c>
      <c r="H4">
        <f t="shared" si="4"/>
        <v>3.02</v>
      </c>
      <c r="I4" s="2"/>
      <c r="J4" s="3"/>
      <c r="K4" s="2"/>
      <c r="N4" s="2"/>
      <c r="O4" s="2"/>
      <c r="P4" s="2"/>
    </row>
    <row r="5" spans="1:16" x14ac:dyDescent="0.35">
      <c r="A5" t="s">
        <v>11</v>
      </c>
      <c r="B5">
        <v>130</v>
      </c>
      <c r="C5">
        <v>42</v>
      </c>
      <c r="D5">
        <f t="shared" si="0"/>
        <v>94.8</v>
      </c>
      <c r="E5" t="str">
        <f t="shared" si="1"/>
        <v>None</v>
      </c>
      <c r="F5">
        <f t="shared" si="2"/>
        <v>0.78400000000000003</v>
      </c>
      <c r="G5" t="str">
        <f t="shared" si="3"/>
        <v>Route_1</v>
      </c>
      <c r="H5">
        <f t="shared" si="4"/>
        <v>5.2</v>
      </c>
      <c r="I5" s="2"/>
      <c r="J5" s="3"/>
      <c r="K5" s="2"/>
      <c r="N5" s="2"/>
      <c r="O5" s="2"/>
      <c r="P5" s="2"/>
    </row>
    <row r="6" spans="1:16" x14ac:dyDescent="0.35">
      <c r="A6" t="s">
        <v>12</v>
      </c>
      <c r="B6">
        <v>45</v>
      </c>
      <c r="C6">
        <v>35</v>
      </c>
      <c r="D6">
        <f t="shared" si="0"/>
        <v>41</v>
      </c>
      <c r="E6" t="str">
        <f t="shared" si="1"/>
        <v>None</v>
      </c>
      <c r="F6">
        <f t="shared" si="2"/>
        <v>0.878</v>
      </c>
      <c r="G6" t="str">
        <f t="shared" si="3"/>
        <v>Route_1</v>
      </c>
      <c r="H6">
        <f t="shared" si="4"/>
        <v>5.2</v>
      </c>
      <c r="I6" s="2"/>
      <c r="J6" s="3"/>
      <c r="K6" s="2"/>
      <c r="N6" s="2"/>
      <c r="O6" s="2"/>
      <c r="P6" s="2"/>
    </row>
    <row r="7" spans="1:16" x14ac:dyDescent="0.35">
      <c r="A7" s="1" t="s">
        <v>13</v>
      </c>
      <c r="B7">
        <v>50</v>
      </c>
      <c r="C7">
        <v>38</v>
      </c>
      <c r="D7">
        <f t="shared" si="0"/>
        <v>45.2</v>
      </c>
      <c r="E7" t="str">
        <f t="shared" si="1"/>
        <v>None</v>
      </c>
      <c r="F7">
        <f t="shared" si="2"/>
        <v>0.871</v>
      </c>
      <c r="G7" t="str">
        <f t="shared" si="3"/>
        <v>Route_1</v>
      </c>
      <c r="H7">
        <f t="shared" si="4"/>
        <v>5.2</v>
      </c>
      <c r="I7" s="2"/>
      <c r="J7" s="3"/>
      <c r="K7" s="2"/>
      <c r="N7" s="2"/>
      <c r="O7" s="2"/>
      <c r="P7" s="2"/>
    </row>
    <row r="8" spans="1:16" x14ac:dyDescent="0.35">
      <c r="A8" s="1" t="s">
        <v>14</v>
      </c>
      <c r="B8">
        <v>55</v>
      </c>
      <c r="C8">
        <v>40</v>
      </c>
      <c r="D8">
        <f t="shared" si="0"/>
        <v>49</v>
      </c>
      <c r="E8" t="str">
        <f t="shared" si="1"/>
        <v>None</v>
      </c>
      <c r="F8">
        <f t="shared" si="2"/>
        <v>0.86399999999999999</v>
      </c>
      <c r="G8" t="str">
        <f t="shared" si="3"/>
        <v>Route_1</v>
      </c>
      <c r="H8">
        <f t="shared" si="4"/>
        <v>5.2</v>
      </c>
      <c r="I8" s="2"/>
      <c r="J8" s="3"/>
      <c r="K8" s="2"/>
      <c r="N8" s="2"/>
      <c r="O8" s="2"/>
      <c r="P8" s="2"/>
    </row>
    <row r="9" spans="1:16" x14ac:dyDescent="0.35">
      <c r="A9" s="1" t="s">
        <v>15</v>
      </c>
      <c r="B9">
        <v>48</v>
      </c>
      <c r="C9">
        <v>36</v>
      </c>
      <c r="D9">
        <f t="shared" si="0"/>
        <v>43.199999999999996</v>
      </c>
      <c r="E9" t="str">
        <f t="shared" si="1"/>
        <v>None</v>
      </c>
      <c r="F9">
        <f t="shared" si="2"/>
        <v>0.874</v>
      </c>
      <c r="G9" t="str">
        <f t="shared" si="3"/>
        <v>Route_1</v>
      </c>
      <c r="H9">
        <f t="shared" si="4"/>
        <v>5.2</v>
      </c>
      <c r="I9" s="2"/>
      <c r="J9" s="3"/>
      <c r="K9" s="2"/>
      <c r="N9" s="2"/>
      <c r="O9" s="2"/>
      <c r="P9" s="2"/>
    </row>
    <row r="10" spans="1:16" x14ac:dyDescent="0.35">
      <c r="A10" s="1" t="s">
        <v>16</v>
      </c>
      <c r="B10">
        <v>80</v>
      </c>
      <c r="C10">
        <v>60</v>
      </c>
      <c r="D10">
        <f t="shared" si="0"/>
        <v>72</v>
      </c>
      <c r="E10" t="str">
        <f t="shared" si="1"/>
        <v>Construction</v>
      </c>
      <c r="F10">
        <f t="shared" si="2"/>
        <v>0.82399999999999995</v>
      </c>
      <c r="G10" t="str">
        <f t="shared" si="3"/>
        <v>Route_1</v>
      </c>
      <c r="H10">
        <f t="shared" si="4"/>
        <v>5.2</v>
      </c>
      <c r="I10" s="2"/>
      <c r="J10" s="3"/>
      <c r="K10" s="2"/>
      <c r="N10" s="2"/>
      <c r="O10" s="2"/>
      <c r="P10" s="2"/>
    </row>
    <row r="11" spans="1:16" x14ac:dyDescent="0.35">
      <c r="A11" s="1"/>
      <c r="I11" s="2"/>
      <c r="J11" s="3"/>
      <c r="K11" s="2"/>
      <c r="N11" s="2"/>
      <c r="O11" s="2"/>
      <c r="P11" s="2"/>
    </row>
    <row r="12" spans="1:16" x14ac:dyDescent="0.35">
      <c r="A12" s="1"/>
      <c r="I12" s="2"/>
      <c r="J12" s="3"/>
      <c r="K12" s="2"/>
      <c r="N12" s="2"/>
      <c r="O12" s="2"/>
      <c r="P12" s="2"/>
    </row>
    <row r="13" spans="1:16" x14ac:dyDescent="0.35">
      <c r="A13" s="1"/>
      <c r="I13" s="2"/>
      <c r="J13" s="3"/>
      <c r="K13" s="2"/>
      <c r="N13" s="2"/>
      <c r="O13" s="2"/>
      <c r="P13" s="2"/>
    </row>
    <row r="14" spans="1:16" x14ac:dyDescent="0.35">
      <c r="A14" s="1"/>
      <c r="I14" s="2"/>
      <c r="J14" s="3"/>
      <c r="K14" s="2"/>
      <c r="N14" s="2"/>
      <c r="O14" s="2"/>
      <c r="P14" s="2"/>
    </row>
    <row r="15" spans="1:16" x14ac:dyDescent="0.35">
      <c r="A15" s="1"/>
      <c r="I15" s="2"/>
      <c r="J15" s="3"/>
      <c r="K15" s="2"/>
      <c r="N15" s="2"/>
      <c r="O15" s="2"/>
      <c r="P15" s="2"/>
    </row>
    <row r="16" spans="1:16" x14ac:dyDescent="0.35">
      <c r="A16" s="1"/>
      <c r="I16" s="2"/>
      <c r="J16" s="3"/>
      <c r="K16" s="2"/>
      <c r="N16" s="2"/>
      <c r="O16" s="2"/>
      <c r="P16" s="2"/>
    </row>
    <row r="17" spans="1:16" x14ac:dyDescent="0.35">
      <c r="A17" s="1"/>
      <c r="I17" s="2"/>
      <c r="J17" s="3"/>
      <c r="K17" s="2"/>
      <c r="N17" s="2"/>
      <c r="O17" s="2"/>
      <c r="P17" s="2"/>
    </row>
    <row r="18" spans="1:16" x14ac:dyDescent="0.35">
      <c r="A18" s="1"/>
      <c r="I18" s="2"/>
      <c r="J18" s="3"/>
      <c r="K18" s="2"/>
      <c r="N18" s="2"/>
      <c r="O18" s="2"/>
      <c r="P18" s="2"/>
    </row>
    <row r="19" spans="1:16" x14ac:dyDescent="0.35">
      <c r="A19" s="1"/>
      <c r="I19" s="2"/>
      <c r="J19" s="3"/>
      <c r="K19" s="2"/>
      <c r="N19" s="2"/>
      <c r="O19" s="2"/>
      <c r="P19" s="2"/>
    </row>
    <row r="20" spans="1:16" x14ac:dyDescent="0.35">
      <c r="A20" s="1"/>
      <c r="I20" s="2"/>
      <c r="J20" s="3"/>
      <c r="K20" s="2"/>
      <c r="N20" s="2"/>
      <c r="O20" s="2"/>
      <c r="P20" s="2"/>
    </row>
    <row r="21" spans="1:16" x14ac:dyDescent="0.35">
      <c r="A21" s="1"/>
      <c r="I21" s="2"/>
      <c r="J21" s="3"/>
      <c r="K21" s="2"/>
      <c r="N21" s="2"/>
      <c r="O21" s="2"/>
      <c r="P21" s="2"/>
    </row>
    <row r="22" spans="1:16" x14ac:dyDescent="0.35">
      <c r="A22" s="1"/>
      <c r="I22" s="2"/>
      <c r="J22" s="3"/>
      <c r="K22" s="2"/>
      <c r="N22" s="2"/>
      <c r="O22" s="2"/>
      <c r="P22" s="2"/>
    </row>
    <row r="23" spans="1:16" x14ac:dyDescent="0.35">
      <c r="A23" s="1"/>
      <c r="I23" s="2"/>
      <c r="J23" s="3"/>
      <c r="K23" s="2"/>
      <c r="N23" s="2"/>
      <c r="O23" s="2"/>
      <c r="P23" s="2"/>
    </row>
    <row r="24" spans="1:16" x14ac:dyDescent="0.35">
      <c r="A24" s="1"/>
      <c r="I24" s="2"/>
      <c r="J24" s="3"/>
      <c r="K24" s="2"/>
      <c r="N24" s="2"/>
      <c r="O24" s="2"/>
      <c r="P24" s="2"/>
    </row>
    <row r="25" spans="1:16" x14ac:dyDescent="0.35">
      <c r="A25" s="1"/>
      <c r="I25" s="2"/>
      <c r="J25" s="3"/>
      <c r="K25" s="2"/>
      <c r="N25" s="2"/>
      <c r="O25" s="2"/>
      <c r="P25" s="2"/>
    </row>
    <row r="26" spans="1:16" x14ac:dyDescent="0.35">
      <c r="A26" s="1"/>
      <c r="I26" s="2"/>
      <c r="J26" s="3"/>
      <c r="K26" s="2"/>
      <c r="N26" s="2"/>
      <c r="O26" s="2"/>
      <c r="P26" s="2"/>
    </row>
    <row r="27" spans="1:16" x14ac:dyDescent="0.35">
      <c r="A27" s="1"/>
      <c r="I27" s="2"/>
      <c r="J27" s="3"/>
      <c r="K27" s="2"/>
      <c r="N27" s="2"/>
      <c r="O27" s="2"/>
      <c r="P27" s="2"/>
    </row>
    <row r="28" spans="1:16" x14ac:dyDescent="0.35">
      <c r="A28" s="1"/>
      <c r="I28" s="2"/>
      <c r="J28" s="3"/>
      <c r="K28" s="2"/>
      <c r="N28" s="2"/>
      <c r="O28" s="2"/>
      <c r="P28" s="2"/>
    </row>
    <row r="29" spans="1:16" x14ac:dyDescent="0.35">
      <c r="A29" s="1"/>
      <c r="I29" s="2"/>
      <c r="J29" s="3"/>
      <c r="K29" s="2"/>
      <c r="N29" s="2"/>
      <c r="O29" s="2"/>
      <c r="P29" s="2"/>
    </row>
    <row r="30" spans="1:16" x14ac:dyDescent="0.35">
      <c r="A30" s="1"/>
      <c r="I30" s="2"/>
      <c r="J30" s="3"/>
      <c r="K30" s="2"/>
      <c r="N30" s="2"/>
      <c r="O30" s="2"/>
      <c r="P30" s="2"/>
    </row>
    <row r="31" spans="1:16" x14ac:dyDescent="0.35">
      <c r="A31" s="1"/>
      <c r="I31" s="2"/>
      <c r="J31" s="3"/>
      <c r="K31" s="2"/>
      <c r="N31" s="2"/>
      <c r="O31" s="2"/>
      <c r="P31" s="2"/>
    </row>
    <row r="32" spans="1:16" x14ac:dyDescent="0.35">
      <c r="A32" s="1"/>
      <c r="I32" s="2"/>
      <c r="J32" s="3"/>
      <c r="K32" s="2"/>
      <c r="N32" s="2"/>
      <c r="O32" s="2"/>
      <c r="P32" s="2"/>
    </row>
    <row r="33" spans="1:16" x14ac:dyDescent="0.35">
      <c r="A33" s="1"/>
      <c r="I33" s="2"/>
      <c r="J33" s="3"/>
      <c r="K33" s="2"/>
      <c r="N33" s="2"/>
      <c r="O33" s="2"/>
      <c r="P33" s="2"/>
    </row>
    <row r="34" spans="1:16" x14ac:dyDescent="0.35">
      <c r="A34" s="1"/>
      <c r="I34" s="2"/>
      <c r="J34" s="3"/>
      <c r="K34" s="2"/>
      <c r="N34" s="2"/>
      <c r="O34" s="2"/>
      <c r="P34" s="2"/>
    </row>
    <row r="35" spans="1:16" x14ac:dyDescent="0.35">
      <c r="A35" s="1"/>
      <c r="I35" s="2"/>
      <c r="J35" s="3"/>
      <c r="K35" s="2"/>
      <c r="N35" s="2"/>
      <c r="O35" s="2"/>
      <c r="P35" s="2"/>
    </row>
    <row r="36" spans="1:16" x14ac:dyDescent="0.35">
      <c r="A36" s="1"/>
      <c r="I36" s="2"/>
      <c r="J36" s="3"/>
      <c r="K36" s="2"/>
      <c r="N36" s="2"/>
      <c r="O36" s="2"/>
      <c r="P36" s="2"/>
    </row>
    <row r="37" spans="1:16" x14ac:dyDescent="0.35">
      <c r="A37" s="1"/>
      <c r="I37" s="2"/>
      <c r="J37" s="3"/>
      <c r="K37" s="2"/>
      <c r="N37" s="2"/>
      <c r="O37" s="2"/>
      <c r="P37" s="2"/>
    </row>
    <row r="38" spans="1:16" x14ac:dyDescent="0.35">
      <c r="A38" s="1"/>
      <c r="I38" s="2"/>
      <c r="J38" s="3"/>
      <c r="K38" s="2"/>
      <c r="N38" s="2"/>
      <c r="O38" s="2"/>
      <c r="P38" s="2"/>
    </row>
    <row r="39" spans="1:16" x14ac:dyDescent="0.35">
      <c r="A39" s="1"/>
      <c r="I39" s="2"/>
      <c r="J39" s="3"/>
      <c r="K39" s="2"/>
      <c r="N39" s="2"/>
      <c r="O39" s="2"/>
      <c r="P39" s="2"/>
    </row>
    <row r="40" spans="1:16" x14ac:dyDescent="0.35">
      <c r="A40" s="1"/>
      <c r="I40" s="2"/>
      <c r="J40" s="3"/>
      <c r="K40" s="2"/>
      <c r="N40" s="2"/>
      <c r="O40" s="2"/>
      <c r="P40" s="2"/>
    </row>
    <row r="41" spans="1:16" x14ac:dyDescent="0.35">
      <c r="A41" s="1"/>
      <c r="I41" s="2"/>
      <c r="J41" s="3"/>
      <c r="K41" s="2"/>
      <c r="N41" s="2"/>
      <c r="O41" s="2"/>
      <c r="P41" s="2"/>
    </row>
    <row r="42" spans="1:16" x14ac:dyDescent="0.35">
      <c r="A42" s="1"/>
      <c r="I42" s="2"/>
      <c r="J42" s="3"/>
      <c r="K42" s="2"/>
      <c r="N42" s="2"/>
      <c r="O42" s="2"/>
      <c r="P42" s="2"/>
    </row>
    <row r="43" spans="1:16" x14ac:dyDescent="0.35">
      <c r="A43" s="1"/>
      <c r="I43" s="2"/>
      <c r="J43" s="3"/>
      <c r="K43" s="2"/>
      <c r="N43" s="2"/>
      <c r="O43" s="2"/>
      <c r="P43" s="2"/>
    </row>
    <row r="44" spans="1:16" x14ac:dyDescent="0.35">
      <c r="A44" s="1"/>
      <c r="I44" s="2"/>
      <c r="J44" s="3"/>
      <c r="K44" s="2"/>
      <c r="N44" s="2"/>
      <c r="O44" s="2"/>
      <c r="P44" s="2"/>
    </row>
    <row r="45" spans="1:16" x14ac:dyDescent="0.35">
      <c r="A45" s="1"/>
      <c r="I45" s="2"/>
      <c r="J45" s="3"/>
      <c r="K45" s="2"/>
      <c r="N45" s="2"/>
      <c r="O45" s="2"/>
      <c r="P45" s="2"/>
    </row>
    <row r="46" spans="1:16" x14ac:dyDescent="0.35">
      <c r="A46" s="1"/>
      <c r="I46" s="2"/>
      <c r="J46" s="3"/>
      <c r="K46" s="2"/>
      <c r="N46" s="2"/>
      <c r="O46" s="2"/>
      <c r="P46" s="2"/>
    </row>
    <row r="47" spans="1:16" x14ac:dyDescent="0.35">
      <c r="A47" s="1"/>
      <c r="I47" s="2"/>
      <c r="J47" s="3"/>
      <c r="K47" s="2"/>
      <c r="N47" s="2"/>
      <c r="O47" s="2"/>
      <c r="P47" s="2"/>
    </row>
    <row r="48" spans="1:16" x14ac:dyDescent="0.35">
      <c r="A48" s="1"/>
      <c r="I48" s="2"/>
      <c r="J48" s="3"/>
      <c r="K48" s="2"/>
      <c r="N48" s="2"/>
      <c r="O48" s="2"/>
      <c r="P48" s="2"/>
    </row>
    <row r="49" spans="1:16" x14ac:dyDescent="0.35">
      <c r="A49" s="1"/>
      <c r="I49" s="2"/>
      <c r="J49" s="3"/>
      <c r="K49" s="2"/>
      <c r="N49" s="2"/>
      <c r="O49" s="2"/>
      <c r="P49" s="2"/>
    </row>
    <row r="50" spans="1:16" x14ac:dyDescent="0.35">
      <c r="A50" s="1"/>
      <c r="I50" s="2"/>
      <c r="J50" s="3"/>
      <c r="K50" s="2"/>
      <c r="N50" s="2"/>
      <c r="O50" s="2"/>
      <c r="P50" s="2"/>
    </row>
    <row r="51" spans="1:16" x14ac:dyDescent="0.35">
      <c r="A51" s="1"/>
      <c r="I51" s="2"/>
      <c r="J51" s="3"/>
      <c r="K51" s="2"/>
      <c r="N51" s="2"/>
      <c r="O51" s="2"/>
      <c r="P5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90B98-F21D-4380-BF6D-33DC8837D7E6}">
  <dimension ref="A1:I55"/>
  <sheetViews>
    <sheetView tabSelected="1" workbookViewId="0">
      <selection activeCell="A4" sqref="A4"/>
    </sheetView>
  </sheetViews>
  <sheetFormatPr defaultRowHeight="14.5" x14ac:dyDescent="0.35"/>
  <cols>
    <col min="1" max="1" width="13.1796875" customWidth="1"/>
    <col min="2" max="2" width="14.1796875" customWidth="1"/>
    <col min="3" max="4" width="11.81640625" customWidth="1"/>
    <col min="5" max="5" width="12.7265625" customWidth="1"/>
    <col min="6" max="6" width="13.54296875" customWidth="1"/>
    <col min="7" max="7" width="12" customWidth="1"/>
    <col min="8" max="8" width="11.54296875" customWidth="1"/>
    <col min="9" max="9" width="14.7265625" customWidth="1"/>
  </cols>
  <sheetData>
    <row r="1" spans="1:9" ht="58" x14ac:dyDescent="0.35">
      <c r="A1" s="5" t="s">
        <v>17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</row>
    <row r="2" spans="1:9" x14ac:dyDescent="0.35">
      <c r="A2">
        <v>5</v>
      </c>
      <c r="B2" t="s">
        <v>8</v>
      </c>
      <c r="C2">
        <v>146</v>
      </c>
      <c r="D2">
        <v>40</v>
      </c>
      <c r="E2">
        <f>(0.6 * C2) + (0.4 * D2)</f>
        <v>103.6</v>
      </c>
      <c r="F2" t="str">
        <f>IF(AND(B2="BD", E2&gt;120), "Accident", IF(B2="AD", "Construction", "None"))</f>
        <v>None</v>
      </c>
      <c r="G2">
        <f>ROUND(MAX(0.6, MIN(0.98, 0.95 - (0.35 * (E2 / 200)))), 3)</f>
        <v>0.76900000000000002</v>
      </c>
      <c r="H2" t="str">
        <f>IF(E2 &gt; 120, "Route_2", "Route_1")</f>
        <v>Route_1</v>
      </c>
      <c r="I2">
        <f>IF(H2 = "Route_2", 3.02, 5.2)</f>
        <v>5.2</v>
      </c>
    </row>
    <row r="3" spans="1:9" x14ac:dyDescent="0.35">
      <c r="A3">
        <v>5</v>
      </c>
      <c r="B3" t="s">
        <v>9</v>
      </c>
      <c r="C3">
        <v>150</v>
      </c>
      <c r="D3">
        <v>45</v>
      </c>
      <c r="E3">
        <f t="shared" ref="E3:E55" si="0">(0.6 * C3) + (0.4 * D3)</f>
        <v>108</v>
      </c>
      <c r="F3" t="str">
        <f t="shared" ref="F3:F55" si="1">IF(AND(B3="BD", E3&gt;120), "Accident", IF(B3="AD", "Construction", "None"))</f>
        <v>None</v>
      </c>
      <c r="G3">
        <f t="shared" ref="G3:G55" si="2">ROUND(MAX(0.6, MIN(0.98, 0.95 - (0.35 * (E3 / 200)))), 3)</f>
        <v>0.76100000000000001</v>
      </c>
      <c r="H3" t="str">
        <f t="shared" ref="H3:H55" si="3">IF(E3 &gt; 120, "Route_2", "Route_1")</f>
        <v>Route_1</v>
      </c>
      <c r="I3">
        <f t="shared" ref="I3:I55" si="4">IF(H3 = "Route_2", 3.02, 5.2)</f>
        <v>5.2</v>
      </c>
    </row>
    <row r="4" spans="1:9" x14ac:dyDescent="0.35">
      <c r="A4">
        <v>5</v>
      </c>
      <c r="B4" t="s">
        <v>18</v>
      </c>
      <c r="C4">
        <v>175</v>
      </c>
      <c r="D4">
        <v>50</v>
      </c>
      <c r="E4">
        <f t="shared" si="0"/>
        <v>125</v>
      </c>
      <c r="F4" t="str">
        <f t="shared" si="1"/>
        <v>Accident</v>
      </c>
      <c r="G4">
        <f t="shared" si="2"/>
        <v>0.73099999999999998</v>
      </c>
      <c r="H4" t="str">
        <f t="shared" si="3"/>
        <v>Route_2</v>
      </c>
      <c r="I4">
        <f t="shared" si="4"/>
        <v>3.02</v>
      </c>
    </row>
    <row r="5" spans="1:9" x14ac:dyDescent="0.35">
      <c r="A5">
        <v>5</v>
      </c>
      <c r="B5" t="s">
        <v>11</v>
      </c>
      <c r="C5">
        <v>130</v>
      </c>
      <c r="D5">
        <v>42</v>
      </c>
      <c r="E5">
        <f t="shared" si="0"/>
        <v>94.8</v>
      </c>
      <c r="F5" t="str">
        <f t="shared" si="1"/>
        <v>None</v>
      </c>
      <c r="G5">
        <f t="shared" si="2"/>
        <v>0.78400000000000003</v>
      </c>
      <c r="H5" t="str">
        <f t="shared" si="3"/>
        <v>Route_1</v>
      </c>
      <c r="I5">
        <f t="shared" si="4"/>
        <v>5.2</v>
      </c>
    </row>
    <row r="6" spans="1:9" x14ac:dyDescent="0.35">
      <c r="A6">
        <v>5</v>
      </c>
      <c r="B6" t="s">
        <v>12</v>
      </c>
      <c r="C6">
        <v>45</v>
      </c>
      <c r="D6">
        <v>35</v>
      </c>
      <c r="E6">
        <f t="shared" si="0"/>
        <v>41</v>
      </c>
      <c r="F6" t="str">
        <f t="shared" si="1"/>
        <v>None</v>
      </c>
      <c r="G6">
        <f t="shared" si="2"/>
        <v>0.878</v>
      </c>
      <c r="H6" t="str">
        <f t="shared" si="3"/>
        <v>Route_1</v>
      </c>
      <c r="I6">
        <f t="shared" si="4"/>
        <v>5.2</v>
      </c>
    </row>
    <row r="7" spans="1:9" x14ac:dyDescent="0.35">
      <c r="A7">
        <v>5</v>
      </c>
      <c r="B7" s="1" t="s">
        <v>13</v>
      </c>
      <c r="C7">
        <v>50</v>
      </c>
      <c r="D7">
        <v>38</v>
      </c>
      <c r="E7">
        <f t="shared" si="0"/>
        <v>45.2</v>
      </c>
      <c r="F7" t="str">
        <f t="shared" si="1"/>
        <v>None</v>
      </c>
      <c r="G7">
        <f t="shared" si="2"/>
        <v>0.871</v>
      </c>
      <c r="H7" t="str">
        <f t="shared" si="3"/>
        <v>Route_1</v>
      </c>
      <c r="I7">
        <f t="shared" si="4"/>
        <v>5.2</v>
      </c>
    </row>
    <row r="8" spans="1:9" x14ac:dyDescent="0.35">
      <c r="A8">
        <v>5</v>
      </c>
      <c r="B8" s="1" t="s">
        <v>14</v>
      </c>
      <c r="C8">
        <v>55</v>
      </c>
      <c r="D8">
        <v>40</v>
      </c>
      <c r="E8">
        <f t="shared" si="0"/>
        <v>49</v>
      </c>
      <c r="F8" t="str">
        <f t="shared" si="1"/>
        <v>None</v>
      </c>
      <c r="G8">
        <f t="shared" si="2"/>
        <v>0.86399999999999999</v>
      </c>
      <c r="H8" t="str">
        <f t="shared" si="3"/>
        <v>Route_1</v>
      </c>
      <c r="I8">
        <f t="shared" si="4"/>
        <v>5.2</v>
      </c>
    </row>
    <row r="9" spans="1:9" x14ac:dyDescent="0.35">
      <c r="A9">
        <v>5</v>
      </c>
      <c r="B9" s="1" t="s">
        <v>15</v>
      </c>
      <c r="C9">
        <v>48</v>
      </c>
      <c r="D9">
        <v>36</v>
      </c>
      <c r="E9">
        <f t="shared" si="0"/>
        <v>43.199999999999996</v>
      </c>
      <c r="F9" t="str">
        <f t="shared" si="1"/>
        <v>None</v>
      </c>
      <c r="G9">
        <f t="shared" si="2"/>
        <v>0.874</v>
      </c>
      <c r="H9" t="str">
        <f t="shared" si="3"/>
        <v>Route_1</v>
      </c>
      <c r="I9">
        <f t="shared" si="4"/>
        <v>5.2</v>
      </c>
    </row>
    <row r="10" spans="1:9" x14ac:dyDescent="0.35">
      <c r="A10">
        <v>5</v>
      </c>
      <c r="B10" s="1" t="s">
        <v>16</v>
      </c>
      <c r="C10">
        <v>80</v>
      </c>
      <c r="D10">
        <v>60</v>
      </c>
      <c r="E10">
        <f t="shared" si="0"/>
        <v>72</v>
      </c>
      <c r="F10" t="str">
        <f t="shared" si="1"/>
        <v>Construction</v>
      </c>
      <c r="G10">
        <f t="shared" si="2"/>
        <v>0.82399999999999995</v>
      </c>
      <c r="H10" t="str">
        <f t="shared" si="3"/>
        <v>Route_1</v>
      </c>
      <c r="I10">
        <f t="shared" si="4"/>
        <v>5.2</v>
      </c>
    </row>
    <row r="11" spans="1:9" x14ac:dyDescent="0.35">
      <c r="A11">
        <v>10</v>
      </c>
      <c r="B11" t="s">
        <v>8</v>
      </c>
      <c r="C11">
        <f ca="1">ROUND(C2 + RANDBETWEEN(-8, 12), 0)</f>
        <v>154</v>
      </c>
      <c r="D11">
        <f>VLOOKUP(B11, $B$2:$D$10, 3, FALSE)</f>
        <v>40</v>
      </c>
      <c r="E11">
        <f t="shared" ca="1" si="0"/>
        <v>108.39999999999999</v>
      </c>
      <c r="F11" t="str">
        <f t="shared" ca="1" si="1"/>
        <v>None</v>
      </c>
      <c r="G11">
        <f t="shared" ca="1" si="2"/>
        <v>0.76</v>
      </c>
      <c r="H11" t="str">
        <f t="shared" ca="1" si="3"/>
        <v>Route_1</v>
      </c>
      <c r="I11">
        <f t="shared" ca="1" si="4"/>
        <v>5.2</v>
      </c>
    </row>
    <row r="12" spans="1:9" x14ac:dyDescent="0.35">
      <c r="A12">
        <v>10</v>
      </c>
      <c r="B12" t="s">
        <v>9</v>
      </c>
      <c r="C12">
        <f t="shared" ref="C12:C55" ca="1" si="5">ROUND(C3 + RANDBETWEEN(-8, 12), 0)</f>
        <v>149</v>
      </c>
      <c r="D12">
        <f t="shared" ref="D12:D55" si="6">VLOOKUP(B12, $B$2:$D$10, 3, FALSE)</f>
        <v>45</v>
      </c>
      <c r="E12">
        <f t="shared" ca="1" si="0"/>
        <v>107.39999999999999</v>
      </c>
      <c r="F12" t="str">
        <f t="shared" ca="1" si="1"/>
        <v>None</v>
      </c>
      <c r="G12">
        <f t="shared" ca="1" si="2"/>
        <v>0.76200000000000001</v>
      </c>
      <c r="H12" t="str">
        <f t="shared" ca="1" si="3"/>
        <v>Route_1</v>
      </c>
      <c r="I12">
        <f t="shared" ca="1" si="4"/>
        <v>5.2</v>
      </c>
    </row>
    <row r="13" spans="1:9" x14ac:dyDescent="0.35">
      <c r="A13">
        <v>10</v>
      </c>
      <c r="B13" t="s">
        <v>18</v>
      </c>
      <c r="C13">
        <f t="shared" ca="1" si="5"/>
        <v>173</v>
      </c>
      <c r="D13">
        <f t="shared" si="6"/>
        <v>50</v>
      </c>
      <c r="E13">
        <f t="shared" ca="1" si="0"/>
        <v>123.8</v>
      </c>
      <c r="F13" t="str">
        <f t="shared" ca="1" si="1"/>
        <v>Accident</v>
      </c>
      <c r="G13">
        <f t="shared" ca="1" si="2"/>
        <v>0.73299999999999998</v>
      </c>
      <c r="H13" t="str">
        <f t="shared" ca="1" si="3"/>
        <v>Route_2</v>
      </c>
      <c r="I13">
        <f t="shared" ca="1" si="4"/>
        <v>3.02</v>
      </c>
    </row>
    <row r="14" spans="1:9" x14ac:dyDescent="0.35">
      <c r="A14">
        <v>10</v>
      </c>
      <c r="B14" t="s">
        <v>11</v>
      </c>
      <c r="C14">
        <f t="shared" ca="1" si="5"/>
        <v>134</v>
      </c>
      <c r="D14">
        <f t="shared" si="6"/>
        <v>42</v>
      </c>
      <c r="E14">
        <f t="shared" ca="1" si="0"/>
        <v>97.199999999999989</v>
      </c>
      <c r="F14" t="str">
        <f t="shared" ca="1" si="1"/>
        <v>None</v>
      </c>
      <c r="G14">
        <f t="shared" ca="1" si="2"/>
        <v>0.78</v>
      </c>
      <c r="H14" t="str">
        <f t="shared" ca="1" si="3"/>
        <v>Route_1</v>
      </c>
      <c r="I14">
        <f t="shared" ca="1" si="4"/>
        <v>5.2</v>
      </c>
    </row>
    <row r="15" spans="1:9" x14ac:dyDescent="0.35">
      <c r="A15">
        <v>10</v>
      </c>
      <c r="B15" t="s">
        <v>12</v>
      </c>
      <c r="C15">
        <f t="shared" ca="1" si="5"/>
        <v>46</v>
      </c>
      <c r="D15">
        <f t="shared" si="6"/>
        <v>35</v>
      </c>
      <c r="E15">
        <f t="shared" ca="1" si="0"/>
        <v>41.599999999999994</v>
      </c>
      <c r="F15" t="str">
        <f t="shared" ca="1" si="1"/>
        <v>None</v>
      </c>
      <c r="G15">
        <f t="shared" ca="1" si="2"/>
        <v>0.877</v>
      </c>
      <c r="H15" t="str">
        <f t="shared" ca="1" si="3"/>
        <v>Route_1</v>
      </c>
      <c r="I15">
        <f t="shared" ca="1" si="4"/>
        <v>5.2</v>
      </c>
    </row>
    <row r="16" spans="1:9" x14ac:dyDescent="0.35">
      <c r="A16">
        <v>10</v>
      </c>
      <c r="B16" s="1" t="s">
        <v>13</v>
      </c>
      <c r="C16">
        <f t="shared" ca="1" si="5"/>
        <v>52</v>
      </c>
      <c r="D16">
        <f t="shared" si="6"/>
        <v>38</v>
      </c>
      <c r="E16">
        <f t="shared" ca="1" si="0"/>
        <v>46.4</v>
      </c>
      <c r="F16" t="str">
        <f t="shared" ca="1" si="1"/>
        <v>None</v>
      </c>
      <c r="G16">
        <f t="shared" ca="1" si="2"/>
        <v>0.86899999999999999</v>
      </c>
      <c r="H16" t="str">
        <f t="shared" ca="1" si="3"/>
        <v>Route_1</v>
      </c>
      <c r="I16">
        <f t="shared" ca="1" si="4"/>
        <v>5.2</v>
      </c>
    </row>
    <row r="17" spans="1:9" x14ac:dyDescent="0.35">
      <c r="A17">
        <v>10</v>
      </c>
      <c r="B17" s="1" t="s">
        <v>14</v>
      </c>
      <c r="C17">
        <f t="shared" ca="1" si="5"/>
        <v>49</v>
      </c>
      <c r="D17">
        <f t="shared" si="6"/>
        <v>40</v>
      </c>
      <c r="E17">
        <f t="shared" ca="1" si="0"/>
        <v>45.4</v>
      </c>
      <c r="F17" t="str">
        <f t="shared" ca="1" si="1"/>
        <v>None</v>
      </c>
      <c r="G17">
        <f t="shared" ca="1" si="2"/>
        <v>0.871</v>
      </c>
      <c r="H17" t="str">
        <f t="shared" ca="1" si="3"/>
        <v>Route_1</v>
      </c>
      <c r="I17">
        <f t="shared" ca="1" si="4"/>
        <v>5.2</v>
      </c>
    </row>
    <row r="18" spans="1:9" x14ac:dyDescent="0.35">
      <c r="A18">
        <v>10</v>
      </c>
      <c r="B18" s="1" t="s">
        <v>15</v>
      </c>
      <c r="C18">
        <f t="shared" ca="1" si="5"/>
        <v>45</v>
      </c>
      <c r="D18">
        <f t="shared" si="6"/>
        <v>36</v>
      </c>
      <c r="E18">
        <f t="shared" ca="1" si="0"/>
        <v>41.4</v>
      </c>
      <c r="F18" t="str">
        <f t="shared" ca="1" si="1"/>
        <v>None</v>
      </c>
      <c r="G18">
        <f t="shared" ca="1" si="2"/>
        <v>0.878</v>
      </c>
      <c r="H18" t="str">
        <f t="shared" ca="1" si="3"/>
        <v>Route_1</v>
      </c>
      <c r="I18">
        <f t="shared" ca="1" si="4"/>
        <v>5.2</v>
      </c>
    </row>
    <row r="19" spans="1:9" x14ac:dyDescent="0.35">
      <c r="A19">
        <v>10</v>
      </c>
      <c r="B19" s="1" t="s">
        <v>16</v>
      </c>
      <c r="C19">
        <f t="shared" ca="1" si="5"/>
        <v>88</v>
      </c>
      <c r="D19">
        <f t="shared" si="6"/>
        <v>60</v>
      </c>
      <c r="E19">
        <f t="shared" ca="1" si="0"/>
        <v>76.8</v>
      </c>
      <c r="F19" t="str">
        <f t="shared" ca="1" si="1"/>
        <v>Construction</v>
      </c>
      <c r="G19">
        <f t="shared" ca="1" si="2"/>
        <v>0.81599999999999995</v>
      </c>
      <c r="H19" t="str">
        <f t="shared" ca="1" si="3"/>
        <v>Route_1</v>
      </c>
      <c r="I19">
        <f t="shared" ca="1" si="4"/>
        <v>5.2</v>
      </c>
    </row>
    <row r="20" spans="1:9" x14ac:dyDescent="0.35">
      <c r="A20">
        <v>15</v>
      </c>
      <c r="B20" t="s">
        <v>8</v>
      </c>
      <c r="C20">
        <f t="shared" ca="1" si="5"/>
        <v>151</v>
      </c>
      <c r="D20">
        <f t="shared" si="6"/>
        <v>40</v>
      </c>
      <c r="E20">
        <f t="shared" ca="1" si="0"/>
        <v>106.6</v>
      </c>
      <c r="F20" t="str">
        <f t="shared" ca="1" si="1"/>
        <v>None</v>
      </c>
      <c r="G20">
        <f t="shared" ca="1" si="2"/>
        <v>0.76300000000000001</v>
      </c>
      <c r="H20" t="str">
        <f t="shared" ca="1" si="3"/>
        <v>Route_1</v>
      </c>
      <c r="I20">
        <f t="shared" ca="1" si="4"/>
        <v>5.2</v>
      </c>
    </row>
    <row r="21" spans="1:9" x14ac:dyDescent="0.35">
      <c r="A21">
        <v>15</v>
      </c>
      <c r="B21" t="s">
        <v>9</v>
      </c>
      <c r="C21">
        <f t="shared" ca="1" si="5"/>
        <v>153</v>
      </c>
      <c r="D21">
        <f t="shared" si="6"/>
        <v>45</v>
      </c>
      <c r="E21">
        <f t="shared" ca="1" si="0"/>
        <v>109.8</v>
      </c>
      <c r="F21" t="str">
        <f t="shared" ca="1" si="1"/>
        <v>None</v>
      </c>
      <c r="G21">
        <f t="shared" ca="1" si="2"/>
        <v>0.75800000000000001</v>
      </c>
      <c r="H21" t="str">
        <f t="shared" ca="1" si="3"/>
        <v>Route_1</v>
      </c>
      <c r="I21">
        <f t="shared" ca="1" si="4"/>
        <v>5.2</v>
      </c>
    </row>
    <row r="22" spans="1:9" x14ac:dyDescent="0.35">
      <c r="A22">
        <v>15</v>
      </c>
      <c r="B22" t="s">
        <v>18</v>
      </c>
      <c r="C22">
        <f t="shared" ca="1" si="5"/>
        <v>174</v>
      </c>
      <c r="D22">
        <f t="shared" si="6"/>
        <v>50</v>
      </c>
      <c r="E22">
        <f t="shared" ca="1" si="0"/>
        <v>124.39999999999999</v>
      </c>
      <c r="F22" t="str">
        <f t="shared" ca="1" si="1"/>
        <v>Accident</v>
      </c>
      <c r="G22">
        <f t="shared" ca="1" si="2"/>
        <v>0.73199999999999998</v>
      </c>
      <c r="H22" t="str">
        <f t="shared" ca="1" si="3"/>
        <v>Route_2</v>
      </c>
      <c r="I22">
        <f t="shared" ca="1" si="4"/>
        <v>3.02</v>
      </c>
    </row>
    <row r="23" spans="1:9" x14ac:dyDescent="0.35">
      <c r="A23">
        <v>15</v>
      </c>
      <c r="B23" t="s">
        <v>11</v>
      </c>
      <c r="C23">
        <f t="shared" ca="1" si="5"/>
        <v>144</v>
      </c>
      <c r="D23">
        <f t="shared" si="6"/>
        <v>42</v>
      </c>
      <c r="E23">
        <f t="shared" ca="1" si="0"/>
        <v>103.19999999999999</v>
      </c>
      <c r="F23" t="str">
        <f t="shared" ca="1" si="1"/>
        <v>None</v>
      </c>
      <c r="G23">
        <f t="shared" ca="1" si="2"/>
        <v>0.76900000000000002</v>
      </c>
      <c r="H23" t="str">
        <f t="shared" ca="1" si="3"/>
        <v>Route_1</v>
      </c>
      <c r="I23">
        <f t="shared" ca="1" si="4"/>
        <v>5.2</v>
      </c>
    </row>
    <row r="24" spans="1:9" x14ac:dyDescent="0.35">
      <c r="A24">
        <v>15</v>
      </c>
      <c r="B24" t="s">
        <v>12</v>
      </c>
      <c r="C24">
        <f t="shared" ca="1" si="5"/>
        <v>50</v>
      </c>
      <c r="D24">
        <f t="shared" si="6"/>
        <v>35</v>
      </c>
      <c r="E24">
        <f t="shared" ca="1" si="0"/>
        <v>44</v>
      </c>
      <c r="F24" t="str">
        <f t="shared" ca="1" si="1"/>
        <v>None</v>
      </c>
      <c r="G24">
        <f t="shared" ca="1" si="2"/>
        <v>0.873</v>
      </c>
      <c r="H24" t="str">
        <f t="shared" ca="1" si="3"/>
        <v>Route_1</v>
      </c>
      <c r="I24">
        <f t="shared" ca="1" si="4"/>
        <v>5.2</v>
      </c>
    </row>
    <row r="25" spans="1:9" x14ac:dyDescent="0.35">
      <c r="A25">
        <v>15</v>
      </c>
      <c r="B25" s="1" t="s">
        <v>13</v>
      </c>
      <c r="C25">
        <f t="shared" ca="1" si="5"/>
        <v>56</v>
      </c>
      <c r="D25">
        <f t="shared" si="6"/>
        <v>38</v>
      </c>
      <c r="E25">
        <f t="shared" ca="1" si="0"/>
        <v>48.800000000000004</v>
      </c>
      <c r="F25" t="str">
        <f t="shared" ca="1" si="1"/>
        <v>None</v>
      </c>
      <c r="G25">
        <f t="shared" ca="1" si="2"/>
        <v>0.86499999999999999</v>
      </c>
      <c r="H25" t="str">
        <f t="shared" ca="1" si="3"/>
        <v>Route_1</v>
      </c>
      <c r="I25">
        <f t="shared" ca="1" si="4"/>
        <v>5.2</v>
      </c>
    </row>
    <row r="26" spans="1:9" x14ac:dyDescent="0.35">
      <c r="A26">
        <v>15</v>
      </c>
      <c r="B26" s="1" t="s">
        <v>14</v>
      </c>
      <c r="C26">
        <f t="shared" ca="1" si="5"/>
        <v>60</v>
      </c>
      <c r="D26">
        <f t="shared" si="6"/>
        <v>40</v>
      </c>
      <c r="E26">
        <f t="shared" ca="1" si="0"/>
        <v>52</v>
      </c>
      <c r="F26" t="str">
        <f t="shared" ca="1" si="1"/>
        <v>None</v>
      </c>
      <c r="G26">
        <f t="shared" ca="1" si="2"/>
        <v>0.85899999999999999</v>
      </c>
      <c r="H26" t="str">
        <f t="shared" ca="1" si="3"/>
        <v>Route_1</v>
      </c>
      <c r="I26">
        <f t="shared" ca="1" si="4"/>
        <v>5.2</v>
      </c>
    </row>
    <row r="27" spans="1:9" x14ac:dyDescent="0.35">
      <c r="A27">
        <v>15</v>
      </c>
      <c r="B27" s="1" t="s">
        <v>15</v>
      </c>
      <c r="C27">
        <f t="shared" ca="1" si="5"/>
        <v>41</v>
      </c>
      <c r="D27">
        <f t="shared" si="6"/>
        <v>36</v>
      </c>
      <c r="E27">
        <f t="shared" ca="1" si="0"/>
        <v>39</v>
      </c>
      <c r="F27" t="str">
        <f t="shared" ca="1" si="1"/>
        <v>None</v>
      </c>
      <c r="G27">
        <f t="shared" ca="1" si="2"/>
        <v>0.88200000000000001</v>
      </c>
      <c r="H27" t="str">
        <f t="shared" ca="1" si="3"/>
        <v>Route_1</v>
      </c>
      <c r="I27">
        <f t="shared" ca="1" si="4"/>
        <v>5.2</v>
      </c>
    </row>
    <row r="28" spans="1:9" x14ac:dyDescent="0.35">
      <c r="A28">
        <v>15</v>
      </c>
      <c r="B28" s="1" t="s">
        <v>16</v>
      </c>
      <c r="C28">
        <f t="shared" ca="1" si="5"/>
        <v>87</v>
      </c>
      <c r="D28">
        <f t="shared" si="6"/>
        <v>60</v>
      </c>
      <c r="E28">
        <f t="shared" ca="1" si="0"/>
        <v>76.199999999999989</v>
      </c>
      <c r="F28" t="str">
        <f t="shared" ca="1" si="1"/>
        <v>Construction</v>
      </c>
      <c r="G28">
        <f t="shared" ca="1" si="2"/>
        <v>0.81699999999999995</v>
      </c>
      <c r="H28" t="str">
        <f t="shared" ca="1" si="3"/>
        <v>Route_1</v>
      </c>
      <c r="I28">
        <f t="shared" ca="1" si="4"/>
        <v>5.2</v>
      </c>
    </row>
    <row r="29" spans="1:9" x14ac:dyDescent="0.35">
      <c r="A29">
        <v>20</v>
      </c>
      <c r="B29" t="s">
        <v>8</v>
      </c>
      <c r="C29">
        <f t="shared" ca="1" si="5"/>
        <v>157</v>
      </c>
      <c r="D29">
        <f t="shared" si="6"/>
        <v>40</v>
      </c>
      <c r="E29">
        <f t="shared" ca="1" si="0"/>
        <v>110.2</v>
      </c>
      <c r="F29" t="str">
        <f t="shared" ca="1" si="1"/>
        <v>None</v>
      </c>
      <c r="G29">
        <f t="shared" ca="1" si="2"/>
        <v>0.75700000000000001</v>
      </c>
      <c r="H29" t="str">
        <f t="shared" ca="1" si="3"/>
        <v>Route_1</v>
      </c>
      <c r="I29">
        <f t="shared" ca="1" si="4"/>
        <v>5.2</v>
      </c>
    </row>
    <row r="30" spans="1:9" x14ac:dyDescent="0.35">
      <c r="A30">
        <v>20</v>
      </c>
      <c r="B30" t="s">
        <v>9</v>
      </c>
      <c r="C30">
        <f t="shared" ca="1" si="5"/>
        <v>153</v>
      </c>
      <c r="D30">
        <f t="shared" si="6"/>
        <v>45</v>
      </c>
      <c r="E30">
        <f t="shared" ca="1" si="0"/>
        <v>109.8</v>
      </c>
      <c r="F30" t="str">
        <f t="shared" ca="1" si="1"/>
        <v>None</v>
      </c>
      <c r="G30">
        <f t="shared" ca="1" si="2"/>
        <v>0.75800000000000001</v>
      </c>
      <c r="H30" t="str">
        <f t="shared" ca="1" si="3"/>
        <v>Route_1</v>
      </c>
      <c r="I30">
        <f t="shared" ca="1" si="4"/>
        <v>5.2</v>
      </c>
    </row>
    <row r="31" spans="1:9" x14ac:dyDescent="0.35">
      <c r="A31">
        <v>20</v>
      </c>
      <c r="B31" t="s">
        <v>18</v>
      </c>
      <c r="C31">
        <f t="shared" ca="1" si="5"/>
        <v>170</v>
      </c>
      <c r="D31">
        <f t="shared" si="6"/>
        <v>50</v>
      </c>
      <c r="E31">
        <f t="shared" ca="1" si="0"/>
        <v>122</v>
      </c>
      <c r="F31" t="str">
        <f t="shared" ca="1" si="1"/>
        <v>Accident</v>
      </c>
      <c r="G31">
        <f t="shared" ca="1" si="2"/>
        <v>0.73699999999999999</v>
      </c>
      <c r="H31" t="str">
        <f t="shared" ca="1" si="3"/>
        <v>Route_2</v>
      </c>
      <c r="I31">
        <f t="shared" ca="1" si="4"/>
        <v>3.02</v>
      </c>
    </row>
    <row r="32" spans="1:9" x14ac:dyDescent="0.35">
      <c r="A32">
        <v>20</v>
      </c>
      <c r="B32" t="s">
        <v>11</v>
      </c>
      <c r="C32">
        <f t="shared" ca="1" si="5"/>
        <v>148</v>
      </c>
      <c r="D32">
        <f t="shared" si="6"/>
        <v>42</v>
      </c>
      <c r="E32">
        <f t="shared" ca="1" si="0"/>
        <v>105.6</v>
      </c>
      <c r="F32" t="str">
        <f t="shared" ca="1" si="1"/>
        <v>None</v>
      </c>
      <c r="G32">
        <f t="shared" ca="1" si="2"/>
        <v>0.76500000000000001</v>
      </c>
      <c r="H32" t="str">
        <f t="shared" ca="1" si="3"/>
        <v>Route_1</v>
      </c>
      <c r="I32">
        <f t="shared" ca="1" si="4"/>
        <v>5.2</v>
      </c>
    </row>
    <row r="33" spans="1:9" x14ac:dyDescent="0.35">
      <c r="A33">
        <v>20</v>
      </c>
      <c r="B33" t="s">
        <v>12</v>
      </c>
      <c r="C33">
        <f t="shared" ca="1" si="5"/>
        <v>50</v>
      </c>
      <c r="D33">
        <f t="shared" si="6"/>
        <v>35</v>
      </c>
      <c r="E33">
        <f t="shared" ca="1" si="0"/>
        <v>44</v>
      </c>
      <c r="F33" t="str">
        <f t="shared" ca="1" si="1"/>
        <v>None</v>
      </c>
      <c r="G33">
        <f t="shared" ca="1" si="2"/>
        <v>0.873</v>
      </c>
      <c r="H33" t="str">
        <f t="shared" ca="1" si="3"/>
        <v>Route_1</v>
      </c>
      <c r="I33">
        <f t="shared" ca="1" si="4"/>
        <v>5.2</v>
      </c>
    </row>
    <row r="34" spans="1:9" x14ac:dyDescent="0.35">
      <c r="A34">
        <v>20</v>
      </c>
      <c r="B34" s="1" t="s">
        <v>13</v>
      </c>
      <c r="C34">
        <f t="shared" ca="1" si="5"/>
        <v>55</v>
      </c>
      <c r="D34">
        <f t="shared" si="6"/>
        <v>38</v>
      </c>
      <c r="E34">
        <f t="shared" ca="1" si="0"/>
        <v>48.2</v>
      </c>
      <c r="F34" t="str">
        <f t="shared" ca="1" si="1"/>
        <v>None</v>
      </c>
      <c r="G34">
        <f t="shared" ca="1" si="2"/>
        <v>0.86599999999999999</v>
      </c>
      <c r="H34" t="str">
        <f t="shared" ca="1" si="3"/>
        <v>Route_1</v>
      </c>
      <c r="I34">
        <f t="shared" ca="1" si="4"/>
        <v>5.2</v>
      </c>
    </row>
    <row r="35" spans="1:9" x14ac:dyDescent="0.35">
      <c r="A35">
        <v>20</v>
      </c>
      <c r="B35" s="1" t="s">
        <v>14</v>
      </c>
      <c r="C35">
        <f t="shared" ca="1" si="5"/>
        <v>71</v>
      </c>
      <c r="D35">
        <f t="shared" si="6"/>
        <v>40</v>
      </c>
      <c r="E35">
        <f t="shared" ca="1" si="0"/>
        <v>58.6</v>
      </c>
      <c r="F35" t="str">
        <f t="shared" ca="1" si="1"/>
        <v>None</v>
      </c>
      <c r="G35">
        <f t="shared" ca="1" si="2"/>
        <v>0.84699999999999998</v>
      </c>
      <c r="H35" t="str">
        <f t="shared" ca="1" si="3"/>
        <v>Route_1</v>
      </c>
      <c r="I35">
        <f t="shared" ca="1" si="4"/>
        <v>5.2</v>
      </c>
    </row>
    <row r="36" spans="1:9" x14ac:dyDescent="0.35">
      <c r="A36">
        <v>20</v>
      </c>
      <c r="B36" s="1" t="s">
        <v>15</v>
      </c>
      <c r="C36">
        <f t="shared" ca="1" si="5"/>
        <v>39</v>
      </c>
      <c r="D36">
        <f t="shared" si="6"/>
        <v>36</v>
      </c>
      <c r="E36">
        <f t="shared" ca="1" si="0"/>
        <v>37.799999999999997</v>
      </c>
      <c r="F36" t="str">
        <f t="shared" ca="1" si="1"/>
        <v>None</v>
      </c>
      <c r="G36">
        <f t="shared" ca="1" si="2"/>
        <v>0.88400000000000001</v>
      </c>
      <c r="H36" t="str">
        <f t="shared" ca="1" si="3"/>
        <v>Route_1</v>
      </c>
      <c r="I36">
        <f t="shared" ca="1" si="4"/>
        <v>5.2</v>
      </c>
    </row>
    <row r="37" spans="1:9" x14ac:dyDescent="0.35">
      <c r="A37">
        <v>20</v>
      </c>
      <c r="B37" s="1" t="s">
        <v>16</v>
      </c>
      <c r="C37">
        <f t="shared" ca="1" si="5"/>
        <v>87</v>
      </c>
      <c r="D37">
        <f t="shared" si="6"/>
        <v>60</v>
      </c>
      <c r="E37">
        <f t="shared" ca="1" si="0"/>
        <v>76.199999999999989</v>
      </c>
      <c r="F37" t="str">
        <f t="shared" ca="1" si="1"/>
        <v>Construction</v>
      </c>
      <c r="G37">
        <f t="shared" ca="1" si="2"/>
        <v>0.81699999999999995</v>
      </c>
      <c r="H37" t="str">
        <f t="shared" ca="1" si="3"/>
        <v>Route_1</v>
      </c>
      <c r="I37">
        <f t="shared" ca="1" si="4"/>
        <v>5.2</v>
      </c>
    </row>
    <row r="38" spans="1:9" x14ac:dyDescent="0.35">
      <c r="A38">
        <v>25</v>
      </c>
      <c r="B38" t="s">
        <v>8</v>
      </c>
      <c r="C38">
        <f t="shared" ca="1" si="5"/>
        <v>153</v>
      </c>
      <c r="D38">
        <f t="shared" si="6"/>
        <v>40</v>
      </c>
      <c r="E38">
        <f t="shared" ca="1" si="0"/>
        <v>107.8</v>
      </c>
      <c r="F38" t="str">
        <f t="shared" ca="1" si="1"/>
        <v>None</v>
      </c>
      <c r="G38">
        <f t="shared" ca="1" si="2"/>
        <v>0.76100000000000001</v>
      </c>
      <c r="H38" t="str">
        <f t="shared" ca="1" si="3"/>
        <v>Route_1</v>
      </c>
      <c r="I38">
        <f t="shared" ca="1" si="4"/>
        <v>5.2</v>
      </c>
    </row>
    <row r="39" spans="1:9" x14ac:dyDescent="0.35">
      <c r="A39">
        <v>25</v>
      </c>
      <c r="B39" t="s">
        <v>9</v>
      </c>
      <c r="C39">
        <f t="shared" ca="1" si="5"/>
        <v>145</v>
      </c>
      <c r="D39">
        <f t="shared" si="6"/>
        <v>45</v>
      </c>
      <c r="E39">
        <f t="shared" ca="1" si="0"/>
        <v>105</v>
      </c>
      <c r="F39" t="str">
        <f t="shared" ca="1" si="1"/>
        <v>None</v>
      </c>
      <c r="G39">
        <f t="shared" ca="1" si="2"/>
        <v>0.76600000000000001</v>
      </c>
      <c r="H39" t="str">
        <f t="shared" ca="1" si="3"/>
        <v>Route_1</v>
      </c>
      <c r="I39">
        <f t="shared" ca="1" si="4"/>
        <v>5.2</v>
      </c>
    </row>
    <row r="40" spans="1:9" x14ac:dyDescent="0.35">
      <c r="A40">
        <v>25</v>
      </c>
      <c r="B40" t="s">
        <v>18</v>
      </c>
      <c r="C40">
        <f t="shared" ca="1" si="5"/>
        <v>162</v>
      </c>
      <c r="D40">
        <f t="shared" si="6"/>
        <v>50</v>
      </c>
      <c r="E40">
        <f t="shared" ca="1" si="0"/>
        <v>117.2</v>
      </c>
      <c r="F40" t="str">
        <f t="shared" ca="1" si="1"/>
        <v>None</v>
      </c>
      <c r="G40">
        <f t="shared" ca="1" si="2"/>
        <v>0.745</v>
      </c>
      <c r="H40" t="str">
        <f t="shared" ca="1" si="3"/>
        <v>Route_1</v>
      </c>
      <c r="I40">
        <f t="shared" ca="1" si="4"/>
        <v>5.2</v>
      </c>
    </row>
    <row r="41" spans="1:9" x14ac:dyDescent="0.35">
      <c r="A41">
        <v>25</v>
      </c>
      <c r="B41" t="s">
        <v>11</v>
      </c>
      <c r="C41">
        <f t="shared" ca="1" si="5"/>
        <v>143</v>
      </c>
      <c r="D41">
        <f t="shared" si="6"/>
        <v>42</v>
      </c>
      <c r="E41">
        <f t="shared" ca="1" si="0"/>
        <v>102.6</v>
      </c>
      <c r="F41" t="str">
        <f t="shared" ca="1" si="1"/>
        <v>None</v>
      </c>
      <c r="G41">
        <f t="shared" ca="1" si="2"/>
        <v>0.77</v>
      </c>
      <c r="H41" t="str">
        <f t="shared" ca="1" si="3"/>
        <v>Route_1</v>
      </c>
      <c r="I41">
        <f t="shared" ca="1" si="4"/>
        <v>5.2</v>
      </c>
    </row>
    <row r="42" spans="1:9" x14ac:dyDescent="0.35">
      <c r="A42">
        <v>25</v>
      </c>
      <c r="B42" t="s">
        <v>12</v>
      </c>
      <c r="C42">
        <f t="shared" ca="1" si="5"/>
        <v>57</v>
      </c>
      <c r="D42">
        <f t="shared" si="6"/>
        <v>35</v>
      </c>
      <c r="E42">
        <f t="shared" ca="1" si="0"/>
        <v>48.199999999999996</v>
      </c>
      <c r="F42" t="str">
        <f t="shared" ca="1" si="1"/>
        <v>None</v>
      </c>
      <c r="G42">
        <f t="shared" ca="1" si="2"/>
        <v>0.86599999999999999</v>
      </c>
      <c r="H42" t="str">
        <f t="shared" ca="1" si="3"/>
        <v>Route_1</v>
      </c>
      <c r="I42">
        <f t="shared" ca="1" si="4"/>
        <v>5.2</v>
      </c>
    </row>
    <row r="43" spans="1:9" x14ac:dyDescent="0.35">
      <c r="A43">
        <v>25</v>
      </c>
      <c r="B43" s="1" t="s">
        <v>13</v>
      </c>
      <c r="C43">
        <f t="shared" ca="1" si="5"/>
        <v>58</v>
      </c>
      <c r="D43">
        <f t="shared" si="6"/>
        <v>38</v>
      </c>
      <c r="E43">
        <f t="shared" ca="1" si="0"/>
        <v>50</v>
      </c>
      <c r="F43" t="str">
        <f t="shared" ca="1" si="1"/>
        <v>None</v>
      </c>
      <c r="G43">
        <f t="shared" ca="1" si="2"/>
        <v>0.86299999999999999</v>
      </c>
      <c r="H43" t="str">
        <f t="shared" ca="1" si="3"/>
        <v>Route_1</v>
      </c>
      <c r="I43">
        <f t="shared" ca="1" si="4"/>
        <v>5.2</v>
      </c>
    </row>
    <row r="44" spans="1:9" x14ac:dyDescent="0.35">
      <c r="A44">
        <v>25</v>
      </c>
      <c r="B44" s="1" t="s">
        <v>14</v>
      </c>
      <c r="C44">
        <f t="shared" ca="1" si="5"/>
        <v>69</v>
      </c>
      <c r="D44">
        <f t="shared" si="6"/>
        <v>40</v>
      </c>
      <c r="E44">
        <f t="shared" ca="1" si="0"/>
        <v>57.4</v>
      </c>
      <c r="F44" t="str">
        <f t="shared" ca="1" si="1"/>
        <v>None</v>
      </c>
      <c r="G44">
        <f t="shared" ca="1" si="2"/>
        <v>0.85</v>
      </c>
      <c r="H44" t="str">
        <f t="shared" ca="1" si="3"/>
        <v>Route_1</v>
      </c>
      <c r="I44">
        <f t="shared" ca="1" si="4"/>
        <v>5.2</v>
      </c>
    </row>
    <row r="45" spans="1:9" x14ac:dyDescent="0.35">
      <c r="A45">
        <v>25</v>
      </c>
      <c r="B45" s="1" t="s">
        <v>15</v>
      </c>
      <c r="C45">
        <f t="shared" ca="1" si="5"/>
        <v>41</v>
      </c>
      <c r="D45">
        <f t="shared" si="6"/>
        <v>36</v>
      </c>
      <c r="E45">
        <f t="shared" ca="1" si="0"/>
        <v>39</v>
      </c>
      <c r="F45" t="str">
        <f t="shared" ca="1" si="1"/>
        <v>None</v>
      </c>
      <c r="G45">
        <f t="shared" ca="1" si="2"/>
        <v>0.88200000000000001</v>
      </c>
      <c r="H45" t="str">
        <f t="shared" ca="1" si="3"/>
        <v>Route_1</v>
      </c>
      <c r="I45">
        <f t="shared" ca="1" si="4"/>
        <v>5.2</v>
      </c>
    </row>
    <row r="46" spans="1:9" x14ac:dyDescent="0.35">
      <c r="A46">
        <v>25</v>
      </c>
      <c r="B46" s="1" t="s">
        <v>16</v>
      </c>
      <c r="C46">
        <f t="shared" ca="1" si="5"/>
        <v>91</v>
      </c>
      <c r="D46">
        <f t="shared" si="6"/>
        <v>60</v>
      </c>
      <c r="E46">
        <f t="shared" ca="1" si="0"/>
        <v>78.599999999999994</v>
      </c>
      <c r="F46" t="str">
        <f t="shared" ca="1" si="1"/>
        <v>Construction</v>
      </c>
      <c r="G46">
        <f t="shared" ca="1" si="2"/>
        <v>0.81200000000000006</v>
      </c>
      <c r="H46" t="str">
        <f t="shared" ca="1" si="3"/>
        <v>Route_1</v>
      </c>
      <c r="I46">
        <f t="shared" ca="1" si="4"/>
        <v>5.2</v>
      </c>
    </row>
    <row r="47" spans="1:9" x14ac:dyDescent="0.35">
      <c r="A47">
        <v>30</v>
      </c>
      <c r="B47" t="s">
        <v>8</v>
      </c>
      <c r="C47">
        <f t="shared" ca="1" si="5"/>
        <v>151</v>
      </c>
      <c r="D47">
        <f t="shared" si="6"/>
        <v>40</v>
      </c>
      <c r="E47">
        <f t="shared" ca="1" si="0"/>
        <v>106.6</v>
      </c>
      <c r="F47" t="str">
        <f t="shared" ca="1" si="1"/>
        <v>None</v>
      </c>
      <c r="G47">
        <f t="shared" ca="1" si="2"/>
        <v>0.76300000000000001</v>
      </c>
      <c r="H47" t="str">
        <f t="shared" ca="1" si="3"/>
        <v>Route_1</v>
      </c>
      <c r="I47">
        <f t="shared" ca="1" si="4"/>
        <v>5.2</v>
      </c>
    </row>
    <row r="48" spans="1:9" x14ac:dyDescent="0.35">
      <c r="A48">
        <v>30</v>
      </c>
      <c r="B48" t="s">
        <v>9</v>
      </c>
      <c r="C48">
        <f t="shared" ca="1" si="5"/>
        <v>152</v>
      </c>
      <c r="D48">
        <f t="shared" si="6"/>
        <v>45</v>
      </c>
      <c r="E48">
        <f t="shared" ca="1" si="0"/>
        <v>109.2</v>
      </c>
      <c r="F48" t="str">
        <f t="shared" ca="1" si="1"/>
        <v>None</v>
      </c>
      <c r="G48">
        <f t="shared" ca="1" si="2"/>
        <v>0.75900000000000001</v>
      </c>
      <c r="H48" t="str">
        <f t="shared" ca="1" si="3"/>
        <v>Route_1</v>
      </c>
      <c r="I48">
        <f t="shared" ca="1" si="4"/>
        <v>5.2</v>
      </c>
    </row>
    <row r="49" spans="1:9" x14ac:dyDescent="0.35">
      <c r="A49">
        <v>30</v>
      </c>
      <c r="B49" t="s">
        <v>18</v>
      </c>
      <c r="C49">
        <f t="shared" ca="1" si="5"/>
        <v>161</v>
      </c>
      <c r="D49">
        <f t="shared" si="6"/>
        <v>50</v>
      </c>
      <c r="E49">
        <f t="shared" ca="1" si="0"/>
        <v>116.6</v>
      </c>
      <c r="F49" t="str">
        <f t="shared" ca="1" si="1"/>
        <v>None</v>
      </c>
      <c r="G49">
        <f t="shared" ca="1" si="2"/>
        <v>0.746</v>
      </c>
      <c r="H49" t="str">
        <f t="shared" ca="1" si="3"/>
        <v>Route_1</v>
      </c>
      <c r="I49">
        <f t="shared" ca="1" si="4"/>
        <v>5.2</v>
      </c>
    </row>
    <row r="50" spans="1:9" x14ac:dyDescent="0.35">
      <c r="A50">
        <v>30</v>
      </c>
      <c r="B50" t="s">
        <v>11</v>
      </c>
      <c r="C50">
        <f t="shared" ca="1" si="5"/>
        <v>141</v>
      </c>
      <c r="D50">
        <f t="shared" si="6"/>
        <v>42</v>
      </c>
      <c r="E50">
        <f t="shared" ca="1" si="0"/>
        <v>101.39999999999999</v>
      </c>
      <c r="F50" t="str">
        <f t="shared" ca="1" si="1"/>
        <v>None</v>
      </c>
      <c r="G50">
        <f t="shared" ca="1" si="2"/>
        <v>0.77300000000000002</v>
      </c>
      <c r="H50" t="str">
        <f t="shared" ca="1" si="3"/>
        <v>Route_1</v>
      </c>
      <c r="I50">
        <f t="shared" ca="1" si="4"/>
        <v>5.2</v>
      </c>
    </row>
    <row r="51" spans="1:9" x14ac:dyDescent="0.35">
      <c r="A51">
        <v>30</v>
      </c>
      <c r="B51" t="s">
        <v>12</v>
      </c>
      <c r="C51">
        <f t="shared" ca="1" si="5"/>
        <v>69</v>
      </c>
      <c r="D51">
        <f t="shared" si="6"/>
        <v>35</v>
      </c>
      <c r="E51">
        <f t="shared" ca="1" si="0"/>
        <v>55.4</v>
      </c>
      <c r="F51" t="str">
        <f t="shared" ca="1" si="1"/>
        <v>None</v>
      </c>
      <c r="G51">
        <f t="shared" ca="1" si="2"/>
        <v>0.85299999999999998</v>
      </c>
      <c r="H51" t="str">
        <f t="shared" ca="1" si="3"/>
        <v>Route_1</v>
      </c>
      <c r="I51">
        <f t="shared" ca="1" si="4"/>
        <v>5.2</v>
      </c>
    </row>
    <row r="52" spans="1:9" x14ac:dyDescent="0.35">
      <c r="A52">
        <v>30</v>
      </c>
      <c r="B52" s="1" t="s">
        <v>13</v>
      </c>
      <c r="C52">
        <f t="shared" ca="1" si="5"/>
        <v>57</v>
      </c>
      <c r="D52">
        <f t="shared" si="6"/>
        <v>38</v>
      </c>
      <c r="E52">
        <f t="shared" ca="1" si="0"/>
        <v>49.4</v>
      </c>
      <c r="F52" t="str">
        <f t="shared" ca="1" si="1"/>
        <v>None</v>
      </c>
      <c r="G52">
        <f t="shared" ca="1" si="2"/>
        <v>0.86399999999999999</v>
      </c>
      <c r="H52" t="str">
        <f t="shared" ca="1" si="3"/>
        <v>Route_1</v>
      </c>
      <c r="I52">
        <f t="shared" ca="1" si="4"/>
        <v>5.2</v>
      </c>
    </row>
    <row r="53" spans="1:9" x14ac:dyDescent="0.35">
      <c r="A53">
        <v>30</v>
      </c>
      <c r="B53" s="1" t="s">
        <v>14</v>
      </c>
      <c r="C53">
        <f t="shared" ca="1" si="5"/>
        <v>67</v>
      </c>
      <c r="D53">
        <f t="shared" si="6"/>
        <v>40</v>
      </c>
      <c r="E53">
        <f t="shared" ca="1" si="0"/>
        <v>56.199999999999996</v>
      </c>
      <c r="F53" t="str">
        <f t="shared" ca="1" si="1"/>
        <v>None</v>
      </c>
      <c r="G53">
        <f t="shared" ca="1" si="2"/>
        <v>0.85199999999999998</v>
      </c>
      <c r="H53" t="str">
        <f t="shared" ca="1" si="3"/>
        <v>Route_1</v>
      </c>
      <c r="I53">
        <f t="shared" ca="1" si="4"/>
        <v>5.2</v>
      </c>
    </row>
    <row r="54" spans="1:9" x14ac:dyDescent="0.35">
      <c r="A54">
        <v>30</v>
      </c>
      <c r="B54" s="1" t="s">
        <v>15</v>
      </c>
      <c r="C54">
        <f t="shared" ca="1" si="5"/>
        <v>49</v>
      </c>
      <c r="D54">
        <f t="shared" si="6"/>
        <v>36</v>
      </c>
      <c r="E54">
        <f t="shared" ca="1" si="0"/>
        <v>43.8</v>
      </c>
      <c r="F54" t="str">
        <f t="shared" ca="1" si="1"/>
        <v>None</v>
      </c>
      <c r="G54">
        <f t="shared" ca="1" si="2"/>
        <v>0.873</v>
      </c>
      <c r="H54" t="str">
        <f t="shared" ca="1" si="3"/>
        <v>Route_1</v>
      </c>
      <c r="I54">
        <f t="shared" ca="1" si="4"/>
        <v>5.2</v>
      </c>
    </row>
    <row r="55" spans="1:9" x14ac:dyDescent="0.35">
      <c r="A55">
        <v>30</v>
      </c>
      <c r="B55" s="1" t="s">
        <v>16</v>
      </c>
      <c r="C55">
        <f t="shared" ca="1" si="5"/>
        <v>95</v>
      </c>
      <c r="D55">
        <f t="shared" si="6"/>
        <v>60</v>
      </c>
      <c r="E55">
        <f t="shared" ca="1" si="0"/>
        <v>81</v>
      </c>
      <c r="F55" t="str">
        <f t="shared" ca="1" si="1"/>
        <v>Construction</v>
      </c>
      <c r="G55">
        <f t="shared" ca="1" si="2"/>
        <v>0.80800000000000005</v>
      </c>
      <c r="H55" t="str">
        <f t="shared" ca="1" si="3"/>
        <v>Route_1</v>
      </c>
      <c r="I55">
        <f t="shared" ca="1" si="4"/>
        <v>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Mukesh Mishra</dc:creator>
  <cp:keywords/>
  <dc:description/>
  <cp:lastModifiedBy>Mukesh Mishra</cp:lastModifiedBy>
  <cp:revision/>
  <dcterms:created xsi:type="dcterms:W3CDTF">2015-06-05T18:17:20Z</dcterms:created>
  <dcterms:modified xsi:type="dcterms:W3CDTF">2026-10-09T04:47:00Z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2026-09-24T22:37:26Z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ee27abdc-1574-40b8-ba83-afe7aa5d0b25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10, 3, 0, 1</vt:lpwstr>
  </property>
</Properties>
</file>