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smac/Library/CloudStorage/OneDrive-UPEducation/MSE806 ITS/W3/"/>
    </mc:Choice>
  </mc:AlternateContent>
  <xr:revisionPtr revIDLastSave="0" documentId="8_{116E34A8-033A-6944-9927-D21A32DD0627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bus_combined" sheetId="1" r:id="rId1"/>
    <sheet name="Sheet1" sheetId="2" r:id="rId2"/>
  </sheets>
  <definedNames>
    <definedName name="ExternalData_1" localSheetId="0" hidden="1">bus_combined!$A$1:$N$51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D8" i="2"/>
  <c r="C8" i="2"/>
  <c r="B8" i="2"/>
  <c r="D7" i="2"/>
  <c r="C7" i="2"/>
  <c r="B7" i="2"/>
  <c r="B11" i="2" s="1"/>
  <c r="D6" i="2"/>
  <c r="C6" i="2"/>
  <c r="B6" i="2"/>
  <c r="B10" i="2" s="1"/>
  <c r="T51" i="1"/>
  <c r="S51" i="1"/>
  <c r="R51" i="1"/>
  <c r="Q51" i="1"/>
  <c r="P51" i="1"/>
  <c r="O51" i="1"/>
  <c r="N51" i="1"/>
  <c r="T50" i="1"/>
  <c r="S50" i="1"/>
  <c r="R50" i="1"/>
  <c r="Q50" i="1"/>
  <c r="P50" i="1"/>
  <c r="O50" i="1"/>
  <c r="N50" i="1"/>
  <c r="T49" i="1"/>
  <c r="S49" i="1"/>
  <c r="R49" i="1"/>
  <c r="Q49" i="1"/>
  <c r="P49" i="1"/>
  <c r="O49" i="1"/>
  <c r="N49" i="1"/>
  <c r="T48" i="1"/>
  <c r="S48" i="1"/>
  <c r="R48" i="1"/>
  <c r="Q48" i="1"/>
  <c r="P48" i="1"/>
  <c r="O48" i="1"/>
  <c r="N48" i="1"/>
  <c r="T47" i="1"/>
  <c r="S47" i="1"/>
  <c r="R47" i="1"/>
  <c r="Q47" i="1"/>
  <c r="P47" i="1"/>
  <c r="O47" i="1"/>
  <c r="N47" i="1"/>
  <c r="T46" i="1"/>
  <c r="S46" i="1"/>
  <c r="R46" i="1"/>
  <c r="Q46" i="1"/>
  <c r="P46" i="1"/>
  <c r="O46" i="1"/>
  <c r="N46" i="1"/>
  <c r="T45" i="1"/>
  <c r="S45" i="1"/>
  <c r="R45" i="1"/>
  <c r="Q45" i="1"/>
  <c r="P45" i="1"/>
  <c r="O45" i="1"/>
  <c r="N45" i="1"/>
  <c r="T44" i="1"/>
  <c r="S44" i="1"/>
  <c r="R44" i="1"/>
  <c r="Q44" i="1"/>
  <c r="P44" i="1"/>
  <c r="O44" i="1"/>
  <c r="N44" i="1"/>
  <c r="T43" i="1"/>
  <c r="S43" i="1"/>
  <c r="R43" i="1"/>
  <c r="Q43" i="1"/>
  <c r="P43" i="1"/>
  <c r="O43" i="1"/>
  <c r="N43" i="1"/>
  <c r="T42" i="1"/>
  <c r="S42" i="1"/>
  <c r="R42" i="1"/>
  <c r="Q42" i="1"/>
  <c r="P42" i="1"/>
  <c r="O42" i="1"/>
  <c r="N42" i="1"/>
  <c r="T41" i="1"/>
  <c r="S41" i="1"/>
  <c r="R41" i="1"/>
  <c r="Q41" i="1"/>
  <c r="P41" i="1"/>
  <c r="O41" i="1"/>
  <c r="N41" i="1"/>
  <c r="T40" i="1"/>
  <c r="S40" i="1"/>
  <c r="R40" i="1"/>
  <c r="Q40" i="1"/>
  <c r="P40" i="1"/>
  <c r="O40" i="1"/>
  <c r="N40" i="1"/>
  <c r="T39" i="1"/>
  <c r="S39" i="1"/>
  <c r="R39" i="1"/>
  <c r="Q39" i="1"/>
  <c r="P39" i="1"/>
  <c r="O39" i="1"/>
  <c r="N39" i="1"/>
  <c r="T38" i="1"/>
  <c r="S38" i="1"/>
  <c r="R38" i="1"/>
  <c r="Q38" i="1"/>
  <c r="P38" i="1"/>
  <c r="O38" i="1"/>
  <c r="N38" i="1"/>
  <c r="T37" i="1"/>
  <c r="S37" i="1"/>
  <c r="R37" i="1"/>
  <c r="Q37" i="1"/>
  <c r="P37" i="1"/>
  <c r="O37" i="1"/>
  <c r="N37" i="1"/>
  <c r="T36" i="1"/>
  <c r="S36" i="1"/>
  <c r="R36" i="1"/>
  <c r="Q36" i="1"/>
  <c r="P36" i="1"/>
  <c r="O36" i="1"/>
  <c r="N36" i="1"/>
  <c r="T35" i="1"/>
  <c r="S35" i="1"/>
  <c r="R35" i="1"/>
  <c r="Q35" i="1"/>
  <c r="P35" i="1"/>
  <c r="O35" i="1"/>
  <c r="N35" i="1"/>
  <c r="T34" i="1"/>
  <c r="S34" i="1"/>
  <c r="R34" i="1"/>
  <c r="Q34" i="1"/>
  <c r="P34" i="1"/>
  <c r="O34" i="1"/>
  <c r="N34" i="1"/>
  <c r="T33" i="1"/>
  <c r="S33" i="1"/>
  <c r="R33" i="1"/>
  <c r="Q33" i="1"/>
  <c r="P33" i="1"/>
  <c r="O33" i="1"/>
  <c r="N33" i="1"/>
  <c r="T32" i="1"/>
  <c r="S32" i="1"/>
  <c r="R32" i="1"/>
  <c r="Q32" i="1"/>
  <c r="P32" i="1"/>
  <c r="O32" i="1"/>
  <c r="N32" i="1"/>
  <c r="T31" i="1"/>
  <c r="S31" i="1"/>
  <c r="R31" i="1"/>
  <c r="Q31" i="1"/>
  <c r="P31" i="1"/>
  <c r="O31" i="1"/>
  <c r="N31" i="1"/>
  <c r="T30" i="1"/>
  <c r="S30" i="1"/>
  <c r="R30" i="1"/>
  <c r="Q30" i="1"/>
  <c r="P30" i="1"/>
  <c r="O30" i="1"/>
  <c r="N30" i="1"/>
  <c r="T29" i="1"/>
  <c r="S29" i="1"/>
  <c r="R29" i="1"/>
  <c r="Q29" i="1"/>
  <c r="P29" i="1"/>
  <c r="O29" i="1"/>
  <c r="N29" i="1"/>
  <c r="T28" i="1"/>
  <c r="S28" i="1"/>
  <c r="R28" i="1"/>
  <c r="Q28" i="1"/>
  <c r="P28" i="1"/>
  <c r="O28" i="1"/>
  <c r="N28" i="1"/>
  <c r="T27" i="1"/>
  <c r="S27" i="1"/>
  <c r="R27" i="1"/>
  <c r="Q27" i="1"/>
  <c r="P27" i="1"/>
  <c r="O27" i="1"/>
  <c r="N27" i="1"/>
  <c r="T26" i="1"/>
  <c r="S26" i="1"/>
  <c r="R26" i="1"/>
  <c r="Q26" i="1"/>
  <c r="P26" i="1"/>
  <c r="O26" i="1"/>
  <c r="N26" i="1"/>
  <c r="T25" i="1"/>
  <c r="S25" i="1"/>
  <c r="R25" i="1"/>
  <c r="Q25" i="1"/>
  <c r="P25" i="1"/>
  <c r="O25" i="1"/>
  <c r="N25" i="1"/>
  <c r="T24" i="1"/>
  <c r="S24" i="1"/>
  <c r="R24" i="1"/>
  <c r="Q24" i="1"/>
  <c r="P24" i="1"/>
  <c r="O24" i="1"/>
  <c r="N24" i="1"/>
  <c r="T23" i="1"/>
  <c r="S23" i="1"/>
  <c r="R23" i="1"/>
  <c r="Q23" i="1"/>
  <c r="P23" i="1"/>
  <c r="O23" i="1"/>
  <c r="N23" i="1"/>
  <c r="T22" i="1"/>
  <c r="S22" i="1"/>
  <c r="R22" i="1"/>
  <c r="Q22" i="1"/>
  <c r="P22" i="1"/>
  <c r="O22" i="1"/>
  <c r="N22" i="1"/>
  <c r="T21" i="1"/>
  <c r="S21" i="1"/>
  <c r="R21" i="1"/>
  <c r="Q21" i="1"/>
  <c r="P21" i="1"/>
  <c r="O21" i="1"/>
  <c r="N21" i="1"/>
  <c r="T20" i="1"/>
  <c r="S20" i="1"/>
  <c r="R20" i="1"/>
  <c r="Q20" i="1"/>
  <c r="P20" i="1"/>
  <c r="O20" i="1"/>
  <c r="N20" i="1"/>
  <c r="T19" i="1"/>
  <c r="S19" i="1"/>
  <c r="R19" i="1"/>
  <c r="Q19" i="1"/>
  <c r="P19" i="1"/>
  <c r="O19" i="1"/>
  <c r="N19" i="1"/>
  <c r="T18" i="1"/>
  <c r="S18" i="1"/>
  <c r="R18" i="1"/>
  <c r="Q18" i="1"/>
  <c r="P18" i="1"/>
  <c r="O18" i="1"/>
  <c r="N18" i="1"/>
  <c r="T17" i="1"/>
  <c r="S17" i="1"/>
  <c r="R17" i="1"/>
  <c r="Q17" i="1"/>
  <c r="P17" i="1"/>
  <c r="O17" i="1"/>
  <c r="N17" i="1"/>
  <c r="T16" i="1"/>
  <c r="S16" i="1"/>
  <c r="R16" i="1"/>
  <c r="Q16" i="1"/>
  <c r="P16" i="1"/>
  <c r="O16" i="1"/>
  <c r="N16" i="1"/>
  <c r="T15" i="1"/>
  <c r="S15" i="1"/>
  <c r="R15" i="1"/>
  <c r="Q15" i="1"/>
  <c r="P15" i="1"/>
  <c r="O15" i="1"/>
  <c r="N15" i="1"/>
  <c r="T14" i="1"/>
  <c r="S14" i="1"/>
  <c r="R14" i="1"/>
  <c r="Q14" i="1"/>
  <c r="P14" i="1"/>
  <c r="O14" i="1"/>
  <c r="N14" i="1"/>
  <c r="T13" i="1"/>
  <c r="S13" i="1"/>
  <c r="R13" i="1"/>
  <c r="Q13" i="1"/>
  <c r="P13" i="1"/>
  <c r="O13" i="1"/>
  <c r="N13" i="1"/>
  <c r="T12" i="1"/>
  <c r="S12" i="1"/>
  <c r="R12" i="1"/>
  <c r="Q12" i="1"/>
  <c r="P12" i="1"/>
  <c r="O12" i="1"/>
  <c r="N12" i="1"/>
  <c r="T11" i="1"/>
  <c r="S11" i="1"/>
  <c r="R11" i="1"/>
  <c r="Q11" i="1"/>
  <c r="P11" i="1"/>
  <c r="O11" i="1"/>
  <c r="N11" i="1"/>
  <c r="T10" i="1"/>
  <c r="S10" i="1"/>
  <c r="R10" i="1"/>
  <c r="Q10" i="1"/>
  <c r="P10" i="1"/>
  <c r="O10" i="1"/>
  <c r="N10" i="1"/>
  <c r="T9" i="1"/>
  <c r="S9" i="1"/>
  <c r="R9" i="1"/>
  <c r="Q9" i="1"/>
  <c r="P9" i="1"/>
  <c r="O9" i="1"/>
  <c r="N9" i="1"/>
  <c r="T8" i="1"/>
  <c r="S8" i="1"/>
  <c r="R8" i="1"/>
  <c r="Q8" i="1"/>
  <c r="P8" i="1"/>
  <c r="O8" i="1"/>
  <c r="N8" i="1"/>
  <c r="T7" i="1"/>
  <c r="S7" i="1"/>
  <c r="R7" i="1"/>
  <c r="Q7" i="1"/>
  <c r="P7" i="1"/>
  <c r="O7" i="1"/>
  <c r="N7" i="1"/>
  <c r="T6" i="1"/>
  <c r="S6" i="1"/>
  <c r="R6" i="1"/>
  <c r="Q6" i="1"/>
  <c r="P6" i="1"/>
  <c r="O6" i="1"/>
  <c r="N6" i="1"/>
  <c r="T5" i="1"/>
  <c r="S5" i="1"/>
  <c r="R5" i="1"/>
  <c r="Q5" i="1"/>
  <c r="P5" i="1"/>
  <c r="O5" i="1"/>
  <c r="N5" i="1"/>
  <c r="T4" i="1"/>
  <c r="S4" i="1"/>
  <c r="R4" i="1"/>
  <c r="Q4" i="1"/>
  <c r="P4" i="1"/>
  <c r="O4" i="1"/>
  <c r="N4" i="1"/>
  <c r="T3" i="1"/>
  <c r="S3" i="1"/>
  <c r="R3" i="1"/>
  <c r="Q3" i="1"/>
  <c r="P3" i="1"/>
  <c r="O3" i="1"/>
  <c r="N3" i="1"/>
  <c r="T2" i="1"/>
  <c r="S2" i="1"/>
  <c r="R2" i="1"/>
  <c r="Q2" i="1"/>
  <c r="P2" i="1"/>
  <c r="O2" i="1"/>
  <c r="N2" i="1"/>
</calcChain>
</file>

<file path=xl/sharedStrings.xml><?xml version="1.0" encoding="utf-8"?>
<sst xmlns="http://schemas.openxmlformats.org/spreadsheetml/2006/main" count="283" uniqueCount="102">
  <si>
    <t>ping_id</t>
  </si>
  <si>
    <t>bus_id</t>
  </si>
  <si>
    <t>route_id</t>
  </si>
  <si>
    <t>stop_id</t>
  </si>
  <si>
    <t>stop_name</t>
  </si>
  <si>
    <t>scheduled_time</t>
  </si>
  <si>
    <t>actual_time</t>
  </si>
  <si>
    <t>passenger_count</t>
  </si>
  <si>
    <t>speed_kmh</t>
  </si>
  <si>
    <t>tsp_requested</t>
  </si>
  <si>
    <t>engine_temp_c</t>
  </si>
  <si>
    <t>co2_g_km</t>
  </si>
  <si>
    <t>breakdown_risk</t>
  </si>
  <si>
    <t>Subtraction</t>
  </si>
  <si>
    <t>congestion_status</t>
  </si>
  <si>
    <t>Speed_Category</t>
  </si>
  <si>
    <t>CO2_Category</t>
  </si>
  <si>
    <t>Speed_CO2_Group</t>
  </si>
  <si>
    <t>Is_Low_Speed</t>
  </si>
  <si>
    <t>Is_High_CO2</t>
  </si>
  <si>
    <t>P001</t>
  </si>
  <si>
    <t>DB_101</t>
  </si>
  <si>
    <t>39A</t>
  </si>
  <si>
    <t>O'Connell St Lower</t>
  </si>
  <si>
    <t>High</t>
  </si>
  <si>
    <t>P002</t>
  </si>
  <si>
    <t>Parnell Square West</t>
  </si>
  <si>
    <t>P003</t>
  </si>
  <si>
    <t>College Green Trinity</t>
  </si>
  <si>
    <t>P004</t>
  </si>
  <si>
    <t>DB_102</t>
  </si>
  <si>
    <t>46A</t>
  </si>
  <si>
    <t>Low</t>
  </si>
  <si>
    <t>P005</t>
  </si>
  <si>
    <t>Dawson Street</t>
  </si>
  <si>
    <t>P006</t>
  </si>
  <si>
    <t>Leeson Street Bridge</t>
  </si>
  <si>
    <t>P007</t>
  </si>
  <si>
    <t>DB_103</t>
  </si>
  <si>
    <t>15</t>
  </si>
  <si>
    <t>P008</t>
  </si>
  <si>
    <t>P009</t>
  </si>
  <si>
    <t>P010</t>
  </si>
  <si>
    <t>P011</t>
  </si>
  <si>
    <t>DB_104</t>
  </si>
  <si>
    <t>P012</t>
  </si>
  <si>
    <t>P013</t>
  </si>
  <si>
    <t>P014</t>
  </si>
  <si>
    <t>P015</t>
  </si>
  <si>
    <t>P016</t>
  </si>
  <si>
    <t>DB_105</t>
  </si>
  <si>
    <t>P017</t>
  </si>
  <si>
    <t>P018</t>
  </si>
  <si>
    <t>P019</t>
  </si>
  <si>
    <t>P020</t>
  </si>
  <si>
    <t>P021</t>
  </si>
  <si>
    <t>DB_106</t>
  </si>
  <si>
    <t>P022</t>
  </si>
  <si>
    <t>P023</t>
  </si>
  <si>
    <t>P024</t>
  </si>
  <si>
    <t>P025</t>
  </si>
  <si>
    <t>P026</t>
  </si>
  <si>
    <t>DB_107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</si>
  <si>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</si>
  <si>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</si>
  <si>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</si>
  <si>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</si>
  <si>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</si>
  <si>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</si>
  <si>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</si>
  <si>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</si>
  <si>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</si>
  <si>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</si>
  <si>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DB_108</t>
  </si>
  <si>
    <t>P037</t>
  </si>
  <si>
    <t>P038</t>
  </si>
  <si>
    <t>P039</t>
  </si>
  <si>
    <t>P040</t>
  </si>
  <si>
    <t>P041</t>
  </si>
  <si>
    <t>DB_109</t>
  </si>
  <si>
    <t>P042</t>
  </si>
  <si>
    <t>P043</t>
  </si>
  <si>
    <t>P044</t>
  </si>
  <si>
    <t>P045</t>
  </si>
  <si>
    <t>P046</t>
  </si>
  <si>
    <t>DB_110</t>
  </si>
  <si>
    <t>P047</t>
  </si>
  <si>
    <t>P048</t>
  </si>
  <si>
    <t>P049</t>
  </si>
  <si>
    <t>P050</t>
  </si>
  <si>
    <t>Low Speed (&lt;10 km/h) vs High CO2 (&gt;=1240 g/km) — Summary</t>
  </si>
  <si>
    <t>Contingency table (stop-level pings, n=50)</t>
  </si>
  <si>
    <t>Speed \ CO2</t>
  </si>
  <si>
    <t>High CO2 (&gt;=1240 g/km)</t>
  </si>
  <si>
    <t>Normal CO2 (&lt;1240 g/km)</t>
  </si>
  <si>
    <t>Total</t>
  </si>
  <si>
    <t>Low Speed (&lt;10 km/h)</t>
  </si>
  <si>
    <t>Normal Speed (&gt;=10 km/h)</t>
  </si>
  <si>
    <t>% of Low-Speed pings that are also High CO2</t>
  </si>
  <si>
    <t>% of Normal-Speed pings that are also High CO2</t>
  </si>
  <si>
    <t>Pearson correlation: speed_kmh vs co2_g_km</t>
  </si>
  <si>
    <t>Note: correlation is expected to be negative — lower speed (congestion/bottlenecks) is associated with higher CO2 g/km. Thresholds (&lt;10 km/h, &gt;=1240 g/km) match the congestion_status flag and dataset's High breakdown_risk band already used in the bus_combined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</si>
</sst>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\.hh:mm:ss"/>
    <numFmt numFmtId="166" formatCode="0.0%"/>
  </numFmts>
  <fonts count="5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4"/>
      <name val="Aptos Narrow"/>
    </font>
    <font>
      <b/>
      <sz val="12"/>
      <name val="Aptos Narrow"/>
    </font>
    <font>
      <i/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166" fontId="0" fillId="0" borderId="0" xfId="0" applyNumberFormat="1"/>
    <xf numFmtId="2" fontId="0" fillId="0" borderId="0" xfId="0" applyNumberFormat="1"/>
    <xf numFmtId="0" fontId="4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topLeftCell="N6" workbookViewId="0">
      <selection activeCell="I27" sqref="I27"/>
    </sheetView>
  </sheetViews>
  <sheetFormatPr baseColWidth="10" defaultRowHeight="16"/>
  <cols>
    <col min="1" max="1" width="9.5" bestFit="1" customWidth="1"/>
    <col min="2" max="2" width="9" bestFit="1" customWidth="1"/>
    <col min="3" max="3" width="10.33203125" bestFit="1" customWidth="1"/>
    <col min="4" max="4" width="9.6640625" bestFit="1" customWidth="1"/>
    <col min="5" max="5" width="18.1640625" bestFit="1" customWidth="1"/>
    <col min="6" max="6" width="16.83203125" bestFit="1" customWidth="1"/>
    <col min="7" max="7" width="13.5" bestFit="1" customWidth="1"/>
    <col min="8" max="8" width="17.83203125" bestFit="1" customWidth="1"/>
    <col min="9" max="9" width="13.1640625" bestFit="1" customWidth="1"/>
    <col min="10" max="10" width="15.5" bestFit="1" customWidth="1"/>
    <col min="11" max="11" width="16.1640625" bestFit="1" customWidth="1"/>
    <col min="12" max="12" width="12" bestFit="1" customWidth="1"/>
    <col min="13" max="13" width="16.6640625" bestFit="1" customWidth="1"/>
    <col min="14" max="14" width="13.1640625" customWidth="1"/>
    <col min="15" max="15" width="19.1640625" bestFit="1" customWidth="1"/>
    <col min="16" max="17" width="24" customWidth="1"/>
    <col min="18" max="18" width="32.6640625" customWidth="1"/>
    <col min="19" max="20" width="24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t="s">
        <v>20</v>
      </c>
      <c r="B2" t="s">
        <v>21</v>
      </c>
      <c r="C2" t="s">
        <v>22</v>
      </c>
      <c r="D2">
        <v>101</v>
      </c>
      <c r="E2" t="s">
        <v>23</v>
      </c>
      <c r="F2" s="1">
        <v>0.33333333333333331</v>
      </c>
      <c r="G2" s="1">
        <v>0.33437499999999998</v>
      </c>
      <c r="H2">
        <v>42</v>
      </c>
      <c r="I2">
        <v>22.5</v>
      </c>
      <c r="J2">
        <v>0</v>
      </c>
      <c r="K2">
        <v>98</v>
      </c>
      <c r="L2">
        <v>1240</v>
      </c>
      <c r="M2" t="s">
        <v>24</v>
      </c>
      <c r="N2" s="2">
        <f t="shared" ref="N2:N33" si="0">ROUND((G2-F2)*1440,2)</f>
        <v>1.5</v>
      </c>
      <c r="O2" t="str">
        <f t="shared" ref="O2:O33" si="1">IF(I2&lt;10, "Bottle Neck", "Normal")</f>
        <v>Normal</v>
      </c>
      <c r="P2" t="str">
        <f t="shared" ref="P2:P33" si="2">IF(I2&lt;10,"Low Speed (&lt;10 km/h)","Normal/High Speed (&gt;=10 km/h)")</f>
        <v>Normal/High Speed (&gt;=10 km/h)</v>
      </c>
      <c r="Q2" t="str">
        <f t="shared" ref="Q2:Q33" si="3">IF(L2&gt;=1240,"High CO2 (&gt;=1240 g/km)","Normal CO2 (&lt;1240 g/km)")</f>
        <v>High CO2 (&gt;=1240 g/km)</v>
      </c>
      <c r="R2" t="str">
        <f t="shared" ref="R2:R33" si="4">IF(AND(I2&lt;10,L2&gt;=1240),"Low Speed &amp; High CO2",IF(AND(I2&lt;10,L2&lt;1240),"Low Speed &amp; Normal CO2",IF(AND(I2&gt;=10,L2&gt;=1240),"Normal Speed &amp; High CO2","Normal Speed &amp; Normal CO2")))</f>
        <v>Normal Speed &amp; High CO2</v>
      </c>
      <c r="S2">
        <f t="shared" ref="S2:S33" si="5">IF(I2&lt;10,1,0)</f>
        <v>0</v>
      </c>
      <c r="T2">
        <f t="shared" ref="T2:T33" si="6">IF(L2&gt;=1240,1,0)</f>
        <v>1</v>
      </c>
    </row>
    <row r="3" spans="1:20">
      <c r="A3" t="s">
        <v>25</v>
      </c>
      <c r="B3" t="s">
        <v>21</v>
      </c>
      <c r="C3" t="s">
        <v>22</v>
      </c>
      <c r="D3">
        <v>102</v>
      </c>
      <c r="E3" t="s">
        <v>26</v>
      </c>
      <c r="F3" s="1">
        <v>0.33888888888888891</v>
      </c>
      <c r="G3" s="1">
        <v>0.34149305555555548</v>
      </c>
      <c r="H3">
        <v>55</v>
      </c>
      <c r="I3">
        <v>11.2</v>
      </c>
      <c r="J3">
        <v>1</v>
      </c>
      <c r="K3">
        <v>98</v>
      </c>
      <c r="L3">
        <v>1240</v>
      </c>
      <c r="M3" t="s">
        <v>24</v>
      </c>
      <c r="N3" s="2">
        <f t="shared" si="0"/>
        <v>3.75</v>
      </c>
      <c r="O3" t="str">
        <f t="shared" si="1"/>
        <v>Normal</v>
      </c>
      <c r="P3" t="str">
        <f t="shared" si="2"/>
        <v>Normal/High Speed (&gt;=10 km/h)</v>
      </c>
      <c r="Q3" t="str">
        <f t="shared" si="3"/>
        <v>High CO2 (&gt;=1240 g/km)</v>
      </c>
      <c r="R3" t="str">
        <f t="shared" si="4"/>
        <v>Normal Speed &amp; High CO2</v>
      </c>
      <c r="S3">
        <f t="shared" si="5"/>
        <v>0</v>
      </c>
      <c r="T3">
        <f t="shared" si="6"/>
        <v>1</v>
      </c>
    </row>
    <row r="4" spans="1:20">
      <c r="A4" t="s">
        <v>27</v>
      </c>
      <c r="B4" t="s">
        <v>21</v>
      </c>
      <c r="C4" t="s">
        <v>22</v>
      </c>
      <c r="D4">
        <v>103</v>
      </c>
      <c r="E4" t="s">
        <v>28</v>
      </c>
      <c r="F4" s="1">
        <v>0.34583333333333333</v>
      </c>
      <c r="G4" s="1">
        <v>0.35011574074074081</v>
      </c>
      <c r="H4">
        <v>68</v>
      </c>
      <c r="I4">
        <v>8.4</v>
      </c>
      <c r="J4">
        <v>1</v>
      </c>
      <c r="K4">
        <v>98</v>
      </c>
      <c r="L4">
        <v>1240</v>
      </c>
      <c r="M4" t="s">
        <v>24</v>
      </c>
      <c r="N4" s="2">
        <f t="shared" si="0"/>
        <v>6.17</v>
      </c>
      <c r="O4" t="str">
        <f t="shared" si="1"/>
        <v>Bottle Neck</v>
      </c>
      <c r="P4" t="str">
        <f t="shared" si="2"/>
        <v>Low Speed (&lt;10 km/h)</v>
      </c>
      <c r="Q4" t="str">
        <f t="shared" si="3"/>
        <v>High CO2 (&gt;=1240 g/km)</v>
      </c>
      <c r="R4" t="str">
        <f t="shared" si="4"/>
        <v>Low Speed &amp; High CO2</v>
      </c>
      <c r="S4">
        <f t="shared" si="5"/>
        <v>1</v>
      </c>
      <c r="T4">
        <f t="shared" si="6"/>
        <v>1</v>
      </c>
    </row>
    <row r="5" spans="1:20">
      <c r="A5" t="s">
        <v>29</v>
      </c>
      <c r="B5" t="s">
        <v>30</v>
      </c>
      <c r="C5" t="s">
        <v>31</v>
      </c>
      <c r="D5">
        <v>103</v>
      </c>
      <c r="E5" t="s">
        <v>28</v>
      </c>
      <c r="F5" s="1">
        <v>0.34375</v>
      </c>
      <c r="G5" s="1">
        <v>0.34409722222222222</v>
      </c>
      <c r="H5">
        <v>38</v>
      </c>
      <c r="I5">
        <v>24.1</v>
      </c>
      <c r="J5">
        <v>0</v>
      </c>
      <c r="K5">
        <v>88</v>
      </c>
      <c r="L5">
        <v>890</v>
      </c>
      <c r="M5" t="s">
        <v>32</v>
      </c>
      <c r="N5" s="2">
        <f t="shared" si="0"/>
        <v>0.5</v>
      </c>
      <c r="O5" t="str">
        <f t="shared" si="1"/>
        <v>Normal</v>
      </c>
      <c r="P5" t="str">
        <f t="shared" si="2"/>
        <v>Normal/High Speed (&gt;=10 km/h)</v>
      </c>
      <c r="Q5" t="str">
        <f t="shared" si="3"/>
        <v>Normal CO2 (&lt;1240 g/km)</v>
      </c>
      <c r="R5" t="str">
        <f t="shared" si="4"/>
        <v>Normal Speed &amp; Normal CO2</v>
      </c>
      <c r="S5">
        <f t="shared" si="5"/>
        <v>0</v>
      </c>
      <c r="T5">
        <f t="shared" si="6"/>
        <v>0</v>
      </c>
    </row>
    <row r="6" spans="1:20">
      <c r="A6" t="s">
        <v>33</v>
      </c>
      <c r="B6" t="s">
        <v>30</v>
      </c>
      <c r="C6" t="s">
        <v>31</v>
      </c>
      <c r="D6">
        <v>104</v>
      </c>
      <c r="E6" t="s">
        <v>34</v>
      </c>
      <c r="F6" s="1">
        <v>0.34861111111111109</v>
      </c>
      <c r="G6" s="1">
        <v>0.34942129629629631</v>
      </c>
      <c r="H6">
        <v>44</v>
      </c>
      <c r="I6">
        <v>18.600000000000001</v>
      </c>
      <c r="J6">
        <v>0</v>
      </c>
      <c r="K6">
        <v>88</v>
      </c>
      <c r="L6">
        <v>890</v>
      </c>
      <c r="M6" t="s">
        <v>32</v>
      </c>
      <c r="N6" s="2">
        <f t="shared" si="0"/>
        <v>1.17</v>
      </c>
      <c r="O6" t="str">
        <f t="shared" si="1"/>
        <v>Normal</v>
      </c>
      <c r="P6" t="str">
        <f t="shared" si="2"/>
        <v>Normal/High Speed (&gt;=10 km/h)</v>
      </c>
      <c r="Q6" t="str">
        <f t="shared" si="3"/>
        <v>Normal CO2 (&lt;1240 g/km)</v>
      </c>
      <c r="R6" t="str">
        <f t="shared" si="4"/>
        <v>Normal Speed &amp; Normal CO2</v>
      </c>
      <c r="S6">
        <f t="shared" si="5"/>
        <v>0</v>
      </c>
      <c r="T6">
        <f t="shared" si="6"/>
        <v>0</v>
      </c>
    </row>
    <row r="7" spans="1:20">
      <c r="A7" t="s">
        <v>35</v>
      </c>
      <c r="B7" t="s">
        <v>30</v>
      </c>
      <c r="C7" t="s">
        <v>31</v>
      </c>
      <c r="D7">
        <v>105</v>
      </c>
      <c r="E7" t="s">
        <v>36</v>
      </c>
      <c r="F7" s="1">
        <v>0.35416666666666669</v>
      </c>
      <c r="G7" s="1">
        <v>0.35555555555555562</v>
      </c>
      <c r="H7">
        <v>50</v>
      </c>
      <c r="I7">
        <v>19.8</v>
      </c>
      <c r="J7">
        <v>0</v>
      </c>
      <c r="K7">
        <v>88</v>
      </c>
      <c r="L7">
        <v>890</v>
      </c>
      <c r="M7" t="s">
        <v>32</v>
      </c>
      <c r="N7" s="2">
        <f t="shared" si="0"/>
        <v>2</v>
      </c>
      <c r="O7" t="str">
        <f t="shared" si="1"/>
        <v>Normal</v>
      </c>
      <c r="P7" t="str">
        <f t="shared" si="2"/>
        <v>Normal/High Speed (&gt;=10 km/h)</v>
      </c>
      <c r="Q7" t="str">
        <f t="shared" si="3"/>
        <v>Normal CO2 (&lt;1240 g/km)</v>
      </c>
      <c r="R7" t="str">
        <f t="shared" si="4"/>
        <v>Normal Speed &amp; Normal CO2</v>
      </c>
      <c r="S7">
        <f t="shared" si="5"/>
        <v>0</v>
      </c>
      <c r="T7">
        <f t="shared" si="6"/>
        <v>0</v>
      </c>
    </row>
    <row r="8" spans="1:20">
      <c r="A8" t="s">
        <v>37</v>
      </c>
      <c r="B8" t="s">
        <v>38</v>
      </c>
      <c r="C8" t="s">
        <v>39</v>
      </c>
      <c r="D8">
        <v>101</v>
      </c>
      <c r="E8" t="s">
        <v>23</v>
      </c>
      <c r="F8" s="1">
        <v>0.35416666666666669</v>
      </c>
      <c r="G8" s="1">
        <v>0.35787037037037039</v>
      </c>
      <c r="H8">
        <v>62</v>
      </c>
      <c r="I8">
        <v>9.5</v>
      </c>
      <c r="J8">
        <v>1</v>
      </c>
      <c r="K8">
        <v>104</v>
      </c>
      <c r="L8">
        <v>1510</v>
      </c>
      <c r="M8" t="s">
        <v>24</v>
      </c>
      <c r="N8" s="2">
        <f t="shared" si="0"/>
        <v>5.33</v>
      </c>
      <c r="O8" t="str">
        <f t="shared" si="1"/>
        <v>Bottle Neck</v>
      </c>
      <c r="P8" t="str">
        <f t="shared" si="2"/>
        <v>Low Speed (&lt;10 km/h)</v>
      </c>
      <c r="Q8" t="str">
        <f t="shared" si="3"/>
        <v>High CO2 (&gt;=1240 g/km)</v>
      </c>
      <c r="R8" t="str">
        <f t="shared" si="4"/>
        <v>Low Speed &amp; High CO2</v>
      </c>
      <c r="S8">
        <f t="shared" si="5"/>
        <v>1</v>
      </c>
      <c r="T8">
        <f t="shared" si="6"/>
        <v>1</v>
      </c>
    </row>
    <row r="9" spans="1:20">
      <c r="A9" t="s">
        <v>40</v>
      </c>
      <c r="B9" t="s">
        <v>38</v>
      </c>
      <c r="C9" t="s">
        <v>39</v>
      </c>
      <c r="D9">
        <v>102</v>
      </c>
      <c r="E9" t="s">
        <v>26</v>
      </c>
      <c r="F9" s="1">
        <v>0.3611111111111111</v>
      </c>
      <c r="G9" s="1">
        <v>0.36666666666666659</v>
      </c>
      <c r="H9">
        <v>71</v>
      </c>
      <c r="I9">
        <v>7.2</v>
      </c>
      <c r="J9">
        <v>1</v>
      </c>
      <c r="K9">
        <v>104</v>
      </c>
      <c r="L9">
        <v>1510</v>
      </c>
      <c r="M9" t="s">
        <v>24</v>
      </c>
      <c r="N9" s="2">
        <f t="shared" si="0"/>
        <v>8</v>
      </c>
      <c r="O9" t="str">
        <f t="shared" si="1"/>
        <v>Bottle Neck</v>
      </c>
      <c r="P9" t="str">
        <f t="shared" si="2"/>
        <v>Low Speed (&lt;10 km/h)</v>
      </c>
      <c r="Q9" t="str">
        <f t="shared" si="3"/>
        <v>High CO2 (&gt;=1240 g/km)</v>
      </c>
      <c r="R9" t="str">
        <f t="shared" si="4"/>
        <v>Low Speed &amp; High CO2</v>
      </c>
      <c r="S9">
        <f t="shared" si="5"/>
        <v>1</v>
      </c>
      <c r="T9">
        <f t="shared" si="6"/>
        <v>1</v>
      </c>
    </row>
    <row r="10" spans="1:20">
      <c r="A10" t="s">
        <v>41</v>
      </c>
      <c r="B10" t="s">
        <v>21</v>
      </c>
      <c r="C10" t="s">
        <v>22</v>
      </c>
      <c r="D10">
        <v>104</v>
      </c>
      <c r="E10" t="s">
        <v>34</v>
      </c>
      <c r="F10" s="1">
        <v>0.3527777777777778</v>
      </c>
      <c r="G10" s="1">
        <v>0.35850694444444442</v>
      </c>
      <c r="H10">
        <v>72</v>
      </c>
      <c r="I10">
        <v>6.8</v>
      </c>
      <c r="J10">
        <v>1</v>
      </c>
      <c r="K10">
        <v>98</v>
      </c>
      <c r="L10">
        <v>1240</v>
      </c>
      <c r="M10" t="s">
        <v>24</v>
      </c>
      <c r="N10" s="2">
        <f t="shared" si="0"/>
        <v>8.25</v>
      </c>
      <c r="O10" t="str">
        <f t="shared" si="1"/>
        <v>Bottle Neck</v>
      </c>
      <c r="P10" t="str">
        <f t="shared" si="2"/>
        <v>Low Speed (&lt;10 km/h)</v>
      </c>
      <c r="Q10" t="str">
        <f t="shared" si="3"/>
        <v>High CO2 (&gt;=1240 g/km)</v>
      </c>
      <c r="R10" t="str">
        <f t="shared" si="4"/>
        <v>Low Speed &amp; High CO2</v>
      </c>
      <c r="S10">
        <f t="shared" si="5"/>
        <v>1</v>
      </c>
      <c r="T10">
        <f t="shared" si="6"/>
        <v>1</v>
      </c>
    </row>
    <row r="11" spans="1:20">
      <c r="A11" t="s">
        <v>42</v>
      </c>
      <c r="B11" t="s">
        <v>21</v>
      </c>
      <c r="C11" t="s">
        <v>22</v>
      </c>
      <c r="D11">
        <v>105</v>
      </c>
      <c r="E11" t="s">
        <v>36</v>
      </c>
      <c r="F11" s="1">
        <v>0.35833333333333328</v>
      </c>
      <c r="G11" s="1">
        <v>0.36319444444444438</v>
      </c>
      <c r="H11">
        <v>65</v>
      </c>
      <c r="I11">
        <v>10.1</v>
      </c>
      <c r="J11">
        <v>1</v>
      </c>
      <c r="K11">
        <v>98</v>
      </c>
      <c r="L11">
        <v>1240</v>
      </c>
      <c r="M11" t="s">
        <v>24</v>
      </c>
      <c r="N11" s="2">
        <f t="shared" si="0"/>
        <v>7</v>
      </c>
      <c r="O11" t="str">
        <f t="shared" si="1"/>
        <v>Normal</v>
      </c>
      <c r="P11" t="str">
        <f t="shared" si="2"/>
        <v>Normal/High Speed (&gt;=10 km/h)</v>
      </c>
      <c r="Q11" t="str">
        <f t="shared" si="3"/>
        <v>High CO2 (&gt;=1240 g/km)</v>
      </c>
      <c r="R11" t="str">
        <f t="shared" si="4"/>
        <v>Normal Speed &amp; High CO2</v>
      </c>
      <c r="S11">
        <f t="shared" si="5"/>
        <v>0</v>
      </c>
      <c r="T11">
        <f t="shared" si="6"/>
        <v>1</v>
      </c>
    </row>
    <row r="12" spans="1:20">
      <c r="A12" t="s">
        <v>43</v>
      </c>
      <c r="B12" t="s">
        <v>44</v>
      </c>
      <c r="C12" t="s">
        <v>22</v>
      </c>
      <c r="D12">
        <v>101</v>
      </c>
      <c r="E12" t="s">
        <v>23</v>
      </c>
      <c r="F12" s="1">
        <v>0.34375</v>
      </c>
      <c r="G12" s="1">
        <v>0.34444444444444439</v>
      </c>
      <c r="H12">
        <v>35</v>
      </c>
      <c r="I12">
        <v>21</v>
      </c>
      <c r="J12">
        <v>0</v>
      </c>
      <c r="K12">
        <v>94</v>
      </c>
      <c r="L12">
        <v>1150</v>
      </c>
      <c r="M12" t="s">
        <v>32</v>
      </c>
      <c r="N12" s="2">
        <f t="shared" si="0"/>
        <v>1</v>
      </c>
      <c r="O12" t="str">
        <f t="shared" si="1"/>
        <v>Normal</v>
      </c>
      <c r="P12" t="str">
        <f t="shared" si="2"/>
        <v>Normal/High Speed (&gt;=10 km/h)</v>
      </c>
      <c r="Q12" t="str">
        <f t="shared" si="3"/>
        <v>Normal CO2 (&lt;1240 g/km)</v>
      </c>
      <c r="R12" t="str">
        <f t="shared" si="4"/>
        <v>Normal Speed &amp; Normal CO2</v>
      </c>
      <c r="S12">
        <f t="shared" si="5"/>
        <v>0</v>
      </c>
      <c r="T12">
        <f t="shared" si="6"/>
        <v>0</v>
      </c>
    </row>
    <row r="13" spans="1:20">
      <c r="A13" t="s">
        <v>45</v>
      </c>
      <c r="B13" t="s">
        <v>44</v>
      </c>
      <c r="C13" t="s">
        <v>22</v>
      </c>
      <c r="D13">
        <v>102</v>
      </c>
      <c r="E13" t="s">
        <v>26</v>
      </c>
      <c r="F13" s="1">
        <v>0.34930555555555548</v>
      </c>
      <c r="G13" s="1">
        <v>0.35243055555555558</v>
      </c>
      <c r="H13">
        <v>48</v>
      </c>
      <c r="I13">
        <v>13.4</v>
      </c>
      <c r="J13">
        <v>1</v>
      </c>
      <c r="K13">
        <v>94</v>
      </c>
      <c r="L13">
        <v>1150</v>
      </c>
      <c r="M13" t="s">
        <v>32</v>
      </c>
      <c r="N13" s="2">
        <f t="shared" si="0"/>
        <v>4.5</v>
      </c>
      <c r="O13" t="str">
        <f t="shared" si="1"/>
        <v>Normal</v>
      </c>
      <c r="P13" t="str">
        <f t="shared" si="2"/>
        <v>Normal/High Speed (&gt;=10 km/h)</v>
      </c>
      <c r="Q13" t="str">
        <f t="shared" si="3"/>
        <v>Normal CO2 (&lt;1240 g/km)</v>
      </c>
      <c r="R13" t="str">
        <f t="shared" si="4"/>
        <v>Normal Speed &amp; Normal CO2</v>
      </c>
      <c r="S13">
        <f t="shared" si="5"/>
        <v>0</v>
      </c>
      <c r="T13">
        <f t="shared" si="6"/>
        <v>0</v>
      </c>
    </row>
    <row r="14" spans="1:20">
      <c r="A14" t="s">
        <v>46</v>
      </c>
      <c r="B14" t="s">
        <v>44</v>
      </c>
      <c r="C14" t="s">
        <v>22</v>
      </c>
      <c r="D14">
        <v>103</v>
      </c>
      <c r="E14" t="s">
        <v>28</v>
      </c>
      <c r="F14" s="1">
        <v>0.35625000000000001</v>
      </c>
      <c r="G14" s="1">
        <v>0.36180555555555549</v>
      </c>
      <c r="H14">
        <v>60</v>
      </c>
      <c r="I14">
        <v>7.9</v>
      </c>
      <c r="J14">
        <v>1</v>
      </c>
      <c r="K14">
        <v>94</v>
      </c>
      <c r="L14">
        <v>1150</v>
      </c>
      <c r="M14" t="s">
        <v>32</v>
      </c>
      <c r="N14" s="2">
        <f t="shared" si="0"/>
        <v>8</v>
      </c>
      <c r="O14" t="str">
        <f t="shared" si="1"/>
        <v>Bottle Neck</v>
      </c>
      <c r="P14" t="str">
        <f t="shared" si="2"/>
        <v>Low Speed (&lt;10 km/h)</v>
      </c>
      <c r="Q14" t="str">
        <f t="shared" si="3"/>
        <v>Normal CO2 (&lt;1240 g/km)</v>
      </c>
      <c r="R14" t="str">
        <f t="shared" si="4"/>
        <v>Low Speed &amp; Normal CO2</v>
      </c>
      <c r="S14">
        <f t="shared" si="5"/>
        <v>1</v>
      </c>
      <c r="T14">
        <f t="shared" si="6"/>
        <v>0</v>
      </c>
    </row>
    <row r="15" spans="1:20">
      <c r="A15" t="s">
        <v>47</v>
      </c>
      <c r="B15" t="s">
        <v>44</v>
      </c>
      <c r="C15" t="s">
        <v>22</v>
      </c>
      <c r="D15">
        <v>104</v>
      </c>
      <c r="E15" t="s">
        <v>34</v>
      </c>
      <c r="F15" s="1">
        <v>0.36319444444444438</v>
      </c>
      <c r="G15" s="1">
        <v>0.36996527777777782</v>
      </c>
      <c r="H15">
        <v>64</v>
      </c>
      <c r="I15">
        <v>6.2</v>
      </c>
      <c r="J15">
        <v>1</v>
      </c>
      <c r="K15">
        <v>94</v>
      </c>
      <c r="L15">
        <v>1150</v>
      </c>
      <c r="M15" t="s">
        <v>32</v>
      </c>
      <c r="N15" s="2">
        <f t="shared" si="0"/>
        <v>9.75</v>
      </c>
      <c r="O15" t="str">
        <f t="shared" si="1"/>
        <v>Bottle Neck</v>
      </c>
      <c r="P15" t="str">
        <f t="shared" si="2"/>
        <v>Low Speed (&lt;10 km/h)</v>
      </c>
      <c r="Q15" t="str">
        <f t="shared" si="3"/>
        <v>Normal CO2 (&lt;1240 g/km)</v>
      </c>
      <c r="R15" t="str">
        <f t="shared" si="4"/>
        <v>Low Speed &amp; Normal CO2</v>
      </c>
      <c r="S15">
        <f t="shared" si="5"/>
        <v>1</v>
      </c>
      <c r="T15">
        <f t="shared" si="6"/>
        <v>0</v>
      </c>
    </row>
    <row r="16" spans="1:20">
      <c r="A16" t="s">
        <v>48</v>
      </c>
      <c r="B16" t="s">
        <v>44</v>
      </c>
      <c r="C16" t="s">
        <v>22</v>
      </c>
      <c r="D16">
        <v>105</v>
      </c>
      <c r="E16" t="s">
        <v>36</v>
      </c>
      <c r="F16" s="1">
        <v>0.36875000000000002</v>
      </c>
      <c r="G16" s="1">
        <v>0.37442129629629628</v>
      </c>
      <c r="H16">
        <v>58</v>
      </c>
      <c r="I16">
        <v>12</v>
      </c>
      <c r="J16">
        <v>1</v>
      </c>
      <c r="K16">
        <v>94</v>
      </c>
      <c r="L16">
        <v>1150</v>
      </c>
      <c r="M16" t="s">
        <v>32</v>
      </c>
      <c r="N16" s="2">
        <f t="shared" si="0"/>
        <v>8.17</v>
      </c>
      <c r="O16" t="str">
        <f t="shared" si="1"/>
        <v>Normal</v>
      </c>
      <c r="P16" t="str">
        <f t="shared" si="2"/>
        <v>Normal/High Speed (&gt;=10 km/h)</v>
      </c>
      <c r="Q16" t="str">
        <f t="shared" si="3"/>
        <v>Normal CO2 (&lt;1240 g/km)</v>
      </c>
      <c r="R16" t="str">
        <f t="shared" si="4"/>
        <v>Normal Speed &amp; Normal CO2</v>
      </c>
      <c r="S16">
        <f t="shared" si="5"/>
        <v>0</v>
      </c>
      <c r="T16">
        <f t="shared" si="6"/>
        <v>0</v>
      </c>
    </row>
    <row r="17" spans="1:20">
      <c r="A17" t="s">
        <v>49</v>
      </c>
      <c r="B17" t="s">
        <v>50</v>
      </c>
      <c r="C17" t="s">
        <v>31</v>
      </c>
      <c r="D17">
        <v>101</v>
      </c>
      <c r="E17" t="s">
        <v>23</v>
      </c>
      <c r="F17" s="1">
        <v>0.34722222222222221</v>
      </c>
      <c r="G17" s="1">
        <v>0.34774305555555562</v>
      </c>
      <c r="H17">
        <v>29</v>
      </c>
      <c r="I17">
        <v>23.8</v>
      </c>
      <c r="J17">
        <v>0</v>
      </c>
      <c r="K17">
        <v>86</v>
      </c>
      <c r="L17">
        <v>830</v>
      </c>
      <c r="M17" t="s">
        <v>32</v>
      </c>
      <c r="N17" s="2">
        <f t="shared" si="0"/>
        <v>0.75</v>
      </c>
      <c r="O17" t="str">
        <f t="shared" si="1"/>
        <v>Normal</v>
      </c>
      <c r="P17" t="str">
        <f t="shared" si="2"/>
        <v>Normal/High Speed (&gt;=10 km/h)</v>
      </c>
      <c r="Q17" t="str">
        <f t="shared" si="3"/>
        <v>Normal CO2 (&lt;1240 g/km)</v>
      </c>
      <c r="R17" t="str">
        <f t="shared" si="4"/>
        <v>Normal Speed &amp; Normal CO2</v>
      </c>
      <c r="S17">
        <f t="shared" si="5"/>
        <v>0</v>
      </c>
      <c r="T17">
        <f t="shared" si="6"/>
        <v>0</v>
      </c>
    </row>
    <row r="18" spans="1:20">
      <c r="A18" t="s">
        <v>51</v>
      </c>
      <c r="B18" t="s">
        <v>50</v>
      </c>
      <c r="C18" t="s">
        <v>31</v>
      </c>
      <c r="D18">
        <v>102</v>
      </c>
      <c r="E18" t="s">
        <v>26</v>
      </c>
      <c r="F18" s="1">
        <v>0.3527777777777778</v>
      </c>
      <c r="G18" s="1">
        <v>0.35434027777777782</v>
      </c>
      <c r="H18">
        <v>36</v>
      </c>
      <c r="I18">
        <v>17.5</v>
      </c>
      <c r="J18">
        <v>0</v>
      </c>
      <c r="K18">
        <v>86</v>
      </c>
      <c r="L18">
        <v>830</v>
      </c>
      <c r="M18" t="s">
        <v>32</v>
      </c>
      <c r="N18" s="2">
        <f t="shared" si="0"/>
        <v>2.25</v>
      </c>
      <c r="O18" t="str">
        <f t="shared" si="1"/>
        <v>Normal</v>
      </c>
      <c r="P18" t="str">
        <f t="shared" si="2"/>
        <v>Normal/High Speed (&gt;=10 km/h)</v>
      </c>
      <c r="Q18" t="str">
        <f t="shared" si="3"/>
        <v>Normal CO2 (&lt;1240 g/km)</v>
      </c>
      <c r="R18" t="str">
        <f t="shared" si="4"/>
        <v>Normal Speed &amp; Normal CO2</v>
      </c>
      <c r="S18">
        <f t="shared" si="5"/>
        <v>0</v>
      </c>
      <c r="T18">
        <f t="shared" si="6"/>
        <v>0</v>
      </c>
    </row>
    <row r="19" spans="1:20">
      <c r="A19" t="s">
        <v>52</v>
      </c>
      <c r="B19" t="s">
        <v>50</v>
      </c>
      <c r="C19" t="s">
        <v>31</v>
      </c>
      <c r="D19">
        <v>103</v>
      </c>
      <c r="E19" t="s">
        <v>28</v>
      </c>
      <c r="F19" s="1">
        <v>0.35972222222222222</v>
      </c>
      <c r="G19" s="1">
        <v>0.36377314814814821</v>
      </c>
      <c r="H19">
        <v>52</v>
      </c>
      <c r="I19">
        <v>9.1</v>
      </c>
      <c r="J19">
        <v>1</v>
      </c>
      <c r="K19">
        <v>86</v>
      </c>
      <c r="L19">
        <v>830</v>
      </c>
      <c r="M19" t="s">
        <v>32</v>
      </c>
      <c r="N19" s="2">
        <f t="shared" si="0"/>
        <v>5.83</v>
      </c>
      <c r="O19" t="str">
        <f t="shared" si="1"/>
        <v>Bottle Neck</v>
      </c>
      <c r="P19" t="str">
        <f t="shared" si="2"/>
        <v>Low Speed (&lt;10 km/h)</v>
      </c>
      <c r="Q19" t="str">
        <f t="shared" si="3"/>
        <v>Normal CO2 (&lt;1240 g/km)</v>
      </c>
      <c r="R19" t="str">
        <f t="shared" si="4"/>
        <v>Low Speed &amp; Normal CO2</v>
      </c>
      <c r="S19">
        <f t="shared" si="5"/>
        <v>1</v>
      </c>
      <c r="T19">
        <f t="shared" si="6"/>
        <v>0</v>
      </c>
    </row>
    <row r="20" spans="1:20">
      <c r="A20" t="s">
        <v>53</v>
      </c>
      <c r="B20" t="s">
        <v>50</v>
      </c>
      <c r="C20" t="s">
        <v>31</v>
      </c>
      <c r="D20">
        <v>104</v>
      </c>
      <c r="E20" t="s">
        <v>34</v>
      </c>
      <c r="F20" s="1">
        <v>0.36458333333333331</v>
      </c>
      <c r="G20" s="1">
        <v>0.36828703703703702</v>
      </c>
      <c r="H20">
        <v>58</v>
      </c>
      <c r="I20">
        <v>11.3</v>
      </c>
      <c r="J20">
        <v>1</v>
      </c>
      <c r="K20">
        <v>86</v>
      </c>
      <c r="L20">
        <v>830</v>
      </c>
      <c r="M20" t="s">
        <v>32</v>
      </c>
      <c r="N20" s="2">
        <f t="shared" si="0"/>
        <v>5.33</v>
      </c>
      <c r="O20" t="str">
        <f t="shared" si="1"/>
        <v>Normal</v>
      </c>
      <c r="P20" t="str">
        <f t="shared" si="2"/>
        <v>Normal/High Speed (&gt;=10 km/h)</v>
      </c>
      <c r="Q20" t="str">
        <f t="shared" si="3"/>
        <v>Normal CO2 (&lt;1240 g/km)</v>
      </c>
      <c r="R20" t="str">
        <f t="shared" si="4"/>
        <v>Normal Speed &amp; Normal CO2</v>
      </c>
      <c r="S20">
        <f t="shared" si="5"/>
        <v>0</v>
      </c>
      <c r="T20">
        <f t="shared" si="6"/>
        <v>0</v>
      </c>
    </row>
    <row r="21" spans="1:20">
      <c r="A21" t="s">
        <v>54</v>
      </c>
      <c r="B21" t="s">
        <v>50</v>
      </c>
      <c r="C21" t="s">
        <v>31</v>
      </c>
      <c r="D21">
        <v>105</v>
      </c>
      <c r="E21" t="s">
        <v>36</v>
      </c>
      <c r="F21" s="1">
        <v>0.37013888888888891</v>
      </c>
      <c r="G21" s="1">
        <v>0.37291666666666667</v>
      </c>
      <c r="H21">
        <v>51</v>
      </c>
      <c r="I21">
        <v>16.399999999999999</v>
      </c>
      <c r="J21">
        <v>0</v>
      </c>
      <c r="K21">
        <v>86</v>
      </c>
      <c r="L21">
        <v>830</v>
      </c>
      <c r="M21" t="s">
        <v>32</v>
      </c>
      <c r="N21" s="2">
        <f t="shared" si="0"/>
        <v>4</v>
      </c>
      <c r="O21" t="str">
        <f t="shared" si="1"/>
        <v>Normal</v>
      </c>
      <c r="P21" t="str">
        <f t="shared" si="2"/>
        <v>Normal/High Speed (&gt;=10 km/h)</v>
      </c>
      <c r="Q21" t="str">
        <f t="shared" si="3"/>
        <v>Normal CO2 (&lt;1240 g/km)</v>
      </c>
      <c r="R21" t="str">
        <f t="shared" si="4"/>
        <v>Normal Speed &amp; Normal CO2</v>
      </c>
      <c r="S21">
        <f t="shared" si="5"/>
        <v>0</v>
      </c>
      <c r="T21">
        <f t="shared" si="6"/>
        <v>0</v>
      </c>
    </row>
    <row r="22" spans="1:20">
      <c r="A22" t="s">
        <v>55</v>
      </c>
      <c r="B22" t="s">
        <v>56</v>
      </c>
      <c r="C22" t="s">
        <v>39</v>
      </c>
      <c r="D22">
        <v>101</v>
      </c>
      <c r="E22" t="s">
        <v>23</v>
      </c>
      <c r="F22" s="1">
        <v>0.36458333333333331</v>
      </c>
      <c r="G22" s="1">
        <v>0.36909722222222219</v>
      </c>
      <c r="H22">
        <v>66</v>
      </c>
      <c r="I22">
        <v>8.1</v>
      </c>
      <c r="J22">
        <v>1</v>
      </c>
      <c r="K22">
        <v>106</v>
      </c>
      <c r="L22">
        <v>1620</v>
      </c>
      <c r="M22" t="s">
        <v>24</v>
      </c>
      <c r="N22" s="2">
        <f t="shared" si="0"/>
        <v>6.5</v>
      </c>
      <c r="O22" t="str">
        <f t="shared" si="1"/>
        <v>Bottle Neck</v>
      </c>
      <c r="P22" t="str">
        <f t="shared" si="2"/>
        <v>Low Speed (&lt;10 km/h)</v>
      </c>
      <c r="Q22" t="str">
        <f t="shared" si="3"/>
        <v>High CO2 (&gt;=1240 g/km)</v>
      </c>
      <c r="R22" t="str">
        <f t="shared" si="4"/>
        <v>Low Speed &amp; High CO2</v>
      </c>
      <c r="S22">
        <f t="shared" si="5"/>
        <v>1</v>
      </c>
      <c r="T22">
        <f t="shared" si="6"/>
        <v>1</v>
      </c>
    </row>
    <row r="23" spans="1:20">
      <c r="A23" t="s">
        <v>57</v>
      </c>
      <c r="B23" t="s">
        <v>56</v>
      </c>
      <c r="C23" t="s">
        <v>39</v>
      </c>
      <c r="D23">
        <v>102</v>
      </c>
      <c r="E23" t="s">
        <v>26</v>
      </c>
      <c r="F23" s="1">
        <v>0.37152777777777779</v>
      </c>
      <c r="G23" s="1">
        <v>0.37719907407407399</v>
      </c>
      <c r="H23">
        <v>75</v>
      </c>
      <c r="I23">
        <v>5.9</v>
      </c>
      <c r="J23">
        <v>1</v>
      </c>
      <c r="K23">
        <v>106</v>
      </c>
      <c r="L23">
        <v>1620</v>
      </c>
      <c r="M23" t="s">
        <v>24</v>
      </c>
      <c r="N23" s="2">
        <f t="shared" si="0"/>
        <v>8.17</v>
      </c>
      <c r="O23" t="str">
        <f t="shared" si="1"/>
        <v>Bottle Neck</v>
      </c>
      <c r="P23" t="str">
        <f t="shared" si="2"/>
        <v>Low Speed (&lt;10 km/h)</v>
      </c>
      <c r="Q23" t="str">
        <f t="shared" si="3"/>
        <v>High CO2 (&gt;=1240 g/km)</v>
      </c>
      <c r="R23" t="str">
        <f t="shared" si="4"/>
        <v>Low Speed &amp; High CO2</v>
      </c>
      <c r="S23">
        <f t="shared" si="5"/>
        <v>1</v>
      </c>
      <c r="T23">
        <f t="shared" si="6"/>
        <v>1</v>
      </c>
    </row>
    <row r="24" spans="1:20">
      <c r="A24" t="s">
        <v>58</v>
      </c>
      <c r="B24" t="s">
        <v>56</v>
      </c>
      <c r="C24" t="s">
        <v>39</v>
      </c>
      <c r="D24">
        <v>103</v>
      </c>
      <c r="E24" t="s">
        <v>28</v>
      </c>
      <c r="F24" s="1">
        <v>0.37847222222222221</v>
      </c>
      <c r="G24" s="1">
        <v>0.38472222222222219</v>
      </c>
      <c r="H24">
        <v>80</v>
      </c>
      <c r="I24">
        <v>6.4</v>
      </c>
      <c r="J24">
        <v>1</v>
      </c>
      <c r="K24">
        <v>106</v>
      </c>
      <c r="L24">
        <v>1620</v>
      </c>
      <c r="M24" t="s">
        <v>24</v>
      </c>
      <c r="N24" s="2">
        <f t="shared" si="0"/>
        <v>9</v>
      </c>
      <c r="O24" t="str">
        <f t="shared" si="1"/>
        <v>Bottle Neck</v>
      </c>
      <c r="P24" t="str">
        <f t="shared" si="2"/>
        <v>Low Speed (&lt;10 km/h)</v>
      </c>
      <c r="Q24" t="str">
        <f t="shared" si="3"/>
        <v>High CO2 (&gt;=1240 g/km)</v>
      </c>
      <c r="R24" t="str">
        <f t="shared" si="4"/>
        <v>Low Speed &amp; High CO2</v>
      </c>
      <c r="S24">
        <f t="shared" si="5"/>
        <v>1</v>
      </c>
      <c r="T24">
        <f t="shared" si="6"/>
        <v>1</v>
      </c>
    </row>
    <row r="25" spans="1:20">
      <c r="A25" t="s">
        <v>59</v>
      </c>
      <c r="B25" t="s">
        <v>56</v>
      </c>
      <c r="C25" t="s">
        <v>39</v>
      </c>
      <c r="D25">
        <v>104</v>
      </c>
      <c r="E25" t="s">
        <v>34</v>
      </c>
      <c r="F25" s="1">
        <v>0.3840277777777778</v>
      </c>
      <c r="G25" s="1">
        <v>0.39004629629629628</v>
      </c>
      <c r="H25">
        <v>73</v>
      </c>
      <c r="I25">
        <v>9.8000000000000007</v>
      </c>
      <c r="J25">
        <v>1</v>
      </c>
      <c r="K25">
        <v>106</v>
      </c>
      <c r="L25">
        <v>1620</v>
      </c>
      <c r="M25" t="s">
        <v>24</v>
      </c>
      <c r="N25" s="2">
        <f t="shared" si="0"/>
        <v>8.67</v>
      </c>
      <c r="O25" t="str">
        <f t="shared" si="1"/>
        <v>Bottle Neck</v>
      </c>
      <c r="P25" t="str">
        <f t="shared" si="2"/>
        <v>Low Speed (&lt;10 km/h)</v>
      </c>
      <c r="Q25" t="str">
        <f t="shared" si="3"/>
        <v>High CO2 (&gt;=1240 g/km)</v>
      </c>
      <c r="R25" t="str">
        <f t="shared" si="4"/>
        <v>Low Speed &amp; High CO2</v>
      </c>
      <c r="S25">
        <f t="shared" si="5"/>
        <v>1</v>
      </c>
      <c r="T25">
        <f t="shared" si="6"/>
        <v>1</v>
      </c>
    </row>
    <row r="26" spans="1:20">
      <c r="A26" t="s">
        <v>60</v>
      </c>
      <c r="B26" t="s">
        <v>56</v>
      </c>
      <c r="C26" t="s">
        <v>39</v>
      </c>
      <c r="D26">
        <v>105</v>
      </c>
      <c r="E26" t="s">
        <v>36</v>
      </c>
      <c r="F26" s="1">
        <v>0.38958333333333328</v>
      </c>
      <c r="G26" s="1">
        <v>0.39461805555555562</v>
      </c>
      <c r="H26">
        <v>61</v>
      </c>
      <c r="I26">
        <v>14.2</v>
      </c>
      <c r="J26">
        <v>0</v>
      </c>
      <c r="K26">
        <v>106</v>
      </c>
      <c r="L26">
        <v>1620</v>
      </c>
      <c r="M26" t="s">
        <v>24</v>
      </c>
      <c r="N26" s="2">
        <f t="shared" si="0"/>
        <v>7.25</v>
      </c>
      <c r="O26" t="str">
        <f t="shared" si="1"/>
        <v>Normal</v>
      </c>
      <c r="P26" t="str">
        <f t="shared" si="2"/>
        <v>Normal/High Speed (&gt;=10 km/h)</v>
      </c>
      <c r="Q26" t="str">
        <f t="shared" si="3"/>
        <v>High CO2 (&gt;=1240 g/km)</v>
      </c>
      <c r="R26" t="str">
        <f t="shared" si="4"/>
        <v>Normal Speed &amp; High CO2</v>
      </c>
      <c r="S26">
        <f t="shared" si="5"/>
        <v>0</v>
      </c>
      <c r="T26">
        <f t="shared" si="6"/>
        <v>1</v>
      </c>
    </row>
    <row r="27" spans="1:20">
      <c r="A27" t="s">
        <v>61</v>
      </c>
      <c r="B27" t="s">
        <v>62</v>
      </c>
      <c r="C27" t="s">
        <v>22</v>
      </c>
      <c r="D27">
        <v>101</v>
      </c>
      <c r="E27" t="s">
        <v>23</v>
      </c>
      <c r="F27" s="1">
        <v>0.35416666666666669</v>
      </c>
      <c r="G27" s="1">
        <v>0.35555555555555562</v>
      </c>
      <c r="H27">
        <v>41</v>
      </c>
      <c r="I27">
        <v>19.2</v>
      </c>
      <c r="J27">
        <v>0</v>
      </c>
      <c r="K27">
        <v>101</v>
      </c>
      <c r="L27">
        <v>1380</v>
      </c>
      <c r="M27" t="s">
        <v>24</v>
      </c>
      <c r="N27" s="2">
        <f t="shared" si="0"/>
        <v>2</v>
      </c>
      <c r="O27" t="str">
        <f t="shared" si="1"/>
        <v>Normal</v>
      </c>
      <c r="P27" t="str">
        <f t="shared" si="2"/>
        <v>Normal/High Speed (&gt;=10 km/h)</v>
      </c>
      <c r="Q27" t="str">
        <f t="shared" si="3"/>
        <v>High CO2 (&gt;=1240 g/km)</v>
      </c>
      <c r="R27" t="str">
        <f t="shared" si="4"/>
        <v>Normal Speed &amp; High CO2</v>
      </c>
      <c r="S27">
        <f t="shared" si="5"/>
        <v>0</v>
      </c>
      <c r="T27">
        <f t="shared" si="6"/>
        <v>1</v>
      </c>
    </row>
    <row r="28" spans="1:20">
      <c r="A28" t="s">
        <v>63</v>
      </c>
      <c r="B28" t="s">
        <v>62</v>
      </c>
      <c r="C28" t="s">
        <v>22</v>
      </c>
      <c r="D28">
        <v>102</v>
      </c>
      <c r="E28" t="s">
        <v>26</v>
      </c>
      <c r="F28" s="1">
        <v>0.35972222222222222</v>
      </c>
      <c r="G28" s="1">
        <v>0.36331018518518521</v>
      </c>
      <c r="H28">
        <v>53</v>
      </c>
      <c r="I28">
        <v>10.5</v>
      </c>
      <c r="J28">
        <v>1</v>
      </c>
      <c r="K28">
        <v>101</v>
      </c>
      <c r="L28">
        <v>1380</v>
      </c>
      <c r="M28" t="s">
        <v>24</v>
      </c>
      <c r="N28" s="2">
        <f t="shared" si="0"/>
        <v>5.17</v>
      </c>
      <c r="O28" t="str">
        <f t="shared" si="1"/>
        <v>Normal</v>
      </c>
      <c r="P28" t="str">
        <f t="shared" si="2"/>
        <v>Normal/High Speed (&gt;=10 km/h)</v>
      </c>
      <c r="Q28" t="str">
        <f t="shared" si="3"/>
        <v>High CO2 (&gt;=1240 g/km)</v>
      </c>
      <c r="R28" t="str">
        <f t="shared" si="4"/>
        <v>Normal Speed &amp; High CO2</v>
      </c>
      <c r="S28">
        <f t="shared" si="5"/>
        <v>0</v>
      </c>
      <c r="T28">
        <f t="shared" si="6"/>
        <v>1</v>
      </c>
    </row>
    <row r="29" spans="1:20">
      <c r="A29" t="s">
        <v>64</v>
      </c>
      <c r="B29" t="s">
        <v>62</v>
      </c>
      <c r="C29" t="s">
        <v>22</v>
      </c>
      <c r="D29">
        <v>103</v>
      </c>
      <c r="E29" t="s">
        <v>28</v>
      </c>
      <c r="F29" s="1">
        <v>0.36666666666666659</v>
      </c>
      <c r="G29" s="1">
        <v>0.37268518518518517</v>
      </c>
      <c r="H29">
        <v>69</v>
      </c>
      <c r="I29">
        <v>7.1</v>
      </c>
      <c r="J29">
        <v>1</v>
      </c>
      <c r="K29">
        <v>101</v>
      </c>
      <c r="L29">
        <v>1380</v>
      </c>
      <c r="M29" t="s">
        <v>24</v>
      </c>
      <c r="N29" s="2">
        <f t="shared" si="0"/>
        <v>8.67</v>
      </c>
      <c r="O29" t="str">
        <f t="shared" si="1"/>
        <v>Bottle Neck</v>
      </c>
      <c r="P29" t="str">
        <f t="shared" si="2"/>
        <v>Low Speed (&lt;10 km/h)</v>
      </c>
      <c r="Q29" t="str">
        <f t="shared" si="3"/>
        <v>High CO2 (&gt;=1240 g/km)</v>
      </c>
      <c r="R29" t="str">
        <f t="shared" si="4"/>
        <v>Low Speed &amp; High CO2</v>
      </c>
      <c r="S29">
        <f t="shared" si="5"/>
        <v>1</v>
      </c>
      <c r="T29">
        <f t="shared" si="6"/>
        <v>1</v>
      </c>
    </row>
    <row r="30" spans="1:20">
      <c r="A30" t="s">
        <v>65</v>
      </c>
      <c r="B30" t="s">
        <v>62</v>
      </c>
      <c r="C30" t="s">
        <v>22</v>
      </c>
      <c r="D30">
        <v>104</v>
      </c>
      <c r="E30" t="s">
        <v>34</v>
      </c>
      <c r="F30" s="1">
        <v>0.37361111111111112</v>
      </c>
      <c r="G30" s="1">
        <v>0.38003472222222218</v>
      </c>
      <c r="H30">
        <v>70</v>
      </c>
      <c r="I30">
        <v>6.5</v>
      </c>
      <c r="J30">
        <v>1</v>
      </c>
      <c r="K30">
        <v>101</v>
      </c>
      <c r="L30">
        <v>1380</v>
      </c>
      <c r="M30" t="s">
        <v>24</v>
      </c>
      <c r="N30" s="2">
        <f t="shared" si="0"/>
        <v>9.25</v>
      </c>
      <c r="O30" t="str">
        <f t="shared" si="1"/>
        <v>Bottle Neck</v>
      </c>
      <c r="P30" t="str">
        <f t="shared" si="2"/>
        <v>Low Speed (&lt;10 km/h)</v>
      </c>
      <c r="Q30" t="str">
        <f t="shared" si="3"/>
        <v>High CO2 (&gt;=1240 g/km)</v>
      </c>
      <c r="R30" t="str">
        <f t="shared" si="4"/>
        <v>Low Speed &amp; High CO2</v>
      </c>
      <c r="S30">
        <f t="shared" si="5"/>
        <v>1</v>
      </c>
      <c r="T30">
        <f t="shared" si="6"/>
        <v>1</v>
      </c>
    </row>
    <row r="31" spans="1:20">
      <c r="A31" t="s">
        <v>66</v>
      </c>
      <c r="B31" t="s">
        <v>62</v>
      </c>
      <c r="C31" t="s">
        <v>22</v>
      </c>
      <c r="D31">
        <v>105</v>
      </c>
      <c r="E31" t="s">
        <v>36</v>
      </c>
      <c r="F31" s="1">
        <v>0.37916666666666671</v>
      </c>
      <c r="G31" s="1">
        <v>0.38460648148148152</v>
      </c>
      <c r="H31">
        <v>62</v>
      </c>
      <c r="I31">
        <v>11.8</v>
      </c>
      <c r="J31">
        <v>1</v>
      </c>
      <c r="K31">
        <v>101</v>
      </c>
      <c r="L31">
        <v>1380</v>
      </c>
      <c r="M31" t="s">
        <v>24</v>
      </c>
      <c r="N31" s="2">
        <f t="shared" si="0"/>
        <v>7.83</v>
      </c>
      <c r="O31" t="str">
        <f t="shared" si="1"/>
        <v>Normal</v>
      </c>
      <c r="P31" t="str">
        <f t="shared" si="2"/>
        <v>Normal/High Speed (&gt;=10 km/h)</v>
      </c>
      <c r="Q31" t="str">
        <f t="shared" si="3"/>
        <v>High CO2 (&gt;=1240 g/km)</v>
      </c>
      <c r="R31" t="str">
        <f t="shared" si="4"/>
        <v>Normal Speed &amp; High CO2</v>
      </c>
      <c r="S31">
        <f t="shared" si="5"/>
        <v>0</v>
      </c>
      <c r="T31">
        <f t="shared" si="6"/>
        <v>1</v>
      </c>
    </row>
    <row r="32" spans="1:20">
      <c r="A32" t="s">
        <v>67</v>
      </c>
      <c r="B32" t="s">
        <v>30</v>
      </c>
      <c r="C32" t="s">
        <v>31</v>
      </c>
      <c r="D32">
        <v>101</v>
      </c>
      <c r="E32" t="s">
        <v>23</v>
      </c>
      <c r="F32" s="1">
        <v>0.33333333333333331</v>
      </c>
      <c r="G32" s="1">
        <v>0.33350694444444451</v>
      </c>
      <c r="H32">
        <v>22</v>
      </c>
      <c r="I32">
        <v>25</v>
      </c>
      <c r="J32">
        <v>0</v>
      </c>
      <c r="K32">
        <v>88</v>
      </c>
      <c r="L32">
        <v>890</v>
      </c>
      <c r="M32" t="s">
        <v>32</v>
      </c>
      <c r="N32" s="2">
        <f t="shared" si="0"/>
        <v>0.25</v>
      </c>
      <c r="O32" t="str">
        <f t="shared" si="1"/>
        <v>Normal</v>
      </c>
      <c r="P32" t="str">
        <f t="shared" si="2"/>
        <v>Normal/High Speed (&gt;=10 km/h)</v>
      </c>
      <c r="Q32" t="str">
        <f t="shared" si="3"/>
        <v>Normal CO2 (&lt;1240 g/km)</v>
      </c>
      <c r="R32" t="str">
        <f t="shared" si="4"/>
        <v>Normal Speed &amp; Normal CO2</v>
      </c>
      <c r="S32">
        <f t="shared" si="5"/>
        <v>0</v>
      </c>
      <c r="T32">
        <f t="shared" si="6"/>
        <v>0</v>
      </c>
    </row>
    <row r="33" spans="1:20">
      <c r="A33" t="s">
        <v>68</v>
      </c>
      <c r="B33" t="s">
        <v>30</v>
      </c>
      <c r="C33" t="s">
        <v>31</v>
      </c>
      <c r="D33">
        <v>102</v>
      </c>
      <c r="E33" t="s">
        <v>26</v>
      </c>
      <c r="F33" s="1">
        <v>0.33819444444444452</v>
      </c>
      <c r="G33" s="1">
        <v>0.33888888888888891</v>
      </c>
      <c r="H33">
        <v>31</v>
      </c>
      <c r="I33">
        <v>21.4</v>
      </c>
      <c r="J33">
        <v>0</v>
      </c>
      <c r="K33">
        <v>88</v>
      </c>
      <c r="L33">
        <v>890</v>
      </c>
      <c r="M33" t="s">
        <v>32</v>
      </c>
      <c r="N33" s="2">
        <f t="shared" si="0"/>
        <v>1</v>
      </c>
      <c r="O33" t="str">
        <f t="shared" si="1"/>
        <v>Normal</v>
      </c>
      <c r="P33" t="str">
        <f t="shared" si="2"/>
        <v>Normal/High Speed (&gt;=10 km/h)</v>
      </c>
      <c r="Q33" t="str">
        <f t="shared" si="3"/>
        <v>Normal CO2 (&lt;1240 g/km)</v>
      </c>
      <c r="R33" t="str">
        <f t="shared" si="4"/>
        <v>Normal Speed &amp; Normal CO2</v>
      </c>
      <c r="S33">
        <f t="shared" si="5"/>
        <v>0</v>
      </c>
      <c r="T33">
        <f t="shared" si="6"/>
        <v>0</v>
      </c>
    </row>
    <row r="34" spans="1:20">
      <c r="A34" t="s">
        <v>69</v>
      </c>
      <c r="B34" t="s">
        <v>38</v>
      </c>
      <c r="C34" t="s">
        <v>39</v>
      </c>
      <c r="D34">
        <v>103</v>
      </c>
      <c r="E34" t="s">
        <v>28</v>
      </c>
      <c r="F34" s="1">
        <v>0.36805555555555558</v>
      </c>
      <c r="G34" s="1">
        <v>0.37465277777777778</v>
      </c>
      <c r="H34">
        <v>78</v>
      </c>
      <c r="I34">
        <v>6</v>
      </c>
      <c r="J34">
        <v>1</v>
      </c>
      <c r="K34">
        <v>104</v>
      </c>
      <c r="L34">
        <v>1510</v>
      </c>
      <c r="M34" t="s">
        <v>24</v>
      </c>
      <c r="N34" s="2">
        <f t="shared" ref="N34:N51" si="7">ROUND((G34-F34)*1440,2)</f>
        <v>9.5</v>
      </c>
      <c r="O34" t="str">
        <f t="shared" ref="O34:O51" si="8">IF(I34&lt;10, "Bottle Neck", "Normal")</f>
        <v>Bottle Neck</v>
      </c>
      <c r="P34" t="str">
        <f t="shared" ref="P34:P51" si="9">IF(I34&lt;10,"Low Speed (&lt;10 km/h)","Normal/High Speed (&gt;=10 km/h)")</f>
        <v>Low Speed (&lt;10 km/h)</v>
      </c>
      <c r="Q34" t="str">
        <f t="shared" ref="Q34:Q51" si="10">IF(L34&gt;=1240,"High CO2 (&gt;=1240 g/km)","Normal CO2 (&lt;1240 g/km)")</f>
        <v>High CO2 (&gt;=1240 g/km)</v>
      </c>
      <c r="R34" t="str">
        <f t="shared" ref="R34:R51" si="11">IF(AND(I34&lt;10,L34&gt;=1240),"Low Speed &amp; High CO2",IF(AND(I34&lt;10,L34&lt;1240),"Low Speed &amp; Normal CO2",IF(AND(I34&gt;=10,L34&gt;=1240),"Normal Speed &amp; High CO2","Normal Speed &amp; Normal CO2")))</f>
        <v>Low Speed &amp; High CO2</v>
      </c>
      <c r="S34">
        <f t="shared" ref="S34:S51" si="12">IF(I34&lt;10,1,0)</f>
        <v>1</v>
      </c>
      <c r="T34">
        <f t="shared" ref="T34:T51" si="13">IF(L34&gt;=1240,1,0)</f>
        <v>1</v>
      </c>
    </row>
    <row r="35" spans="1:20">
      <c r="A35" t="s">
        <v>70</v>
      </c>
      <c r="B35" t="s">
        <v>38</v>
      </c>
      <c r="C35" t="s">
        <v>39</v>
      </c>
      <c r="D35">
        <v>104</v>
      </c>
      <c r="E35" t="s">
        <v>34</v>
      </c>
      <c r="F35" s="1">
        <v>0.37361111111111112</v>
      </c>
      <c r="G35" s="1">
        <v>0.38067129629629631</v>
      </c>
      <c r="H35">
        <v>81</v>
      </c>
      <c r="I35">
        <v>5.5</v>
      </c>
      <c r="J35">
        <v>1</v>
      </c>
      <c r="K35">
        <v>104</v>
      </c>
      <c r="L35">
        <v>1510</v>
      </c>
      <c r="M35" t="s">
        <v>24</v>
      </c>
      <c r="N35" s="2">
        <f t="shared" si="7"/>
        <v>10.17</v>
      </c>
      <c r="O35" t="str">
        <f t="shared" si="8"/>
        <v>Bottle Neck</v>
      </c>
      <c r="P35" t="str">
        <f t="shared" si="9"/>
        <v>Low Speed (&lt;10 km/h)</v>
      </c>
      <c r="Q35" t="str">
        <f t="shared" si="10"/>
        <v>High CO2 (&gt;=1240 g/km)</v>
      </c>
      <c r="R35" t="str">
        <f t="shared" si="11"/>
        <v>Low Speed &amp; High CO2</v>
      </c>
      <c r="S35">
        <f t="shared" si="12"/>
        <v>1</v>
      </c>
      <c r="T35">
        <f t="shared" si="13"/>
        <v>1</v>
      </c>
    </row>
    <row r="36" spans="1:20">
      <c r="A36" t="s">
        <v>71</v>
      </c>
      <c r="B36" t="s">
        <v>38</v>
      </c>
      <c r="C36" t="s">
        <v>39</v>
      </c>
      <c r="D36">
        <v>105</v>
      </c>
      <c r="E36" t="s">
        <v>36</v>
      </c>
      <c r="F36" s="1">
        <v>0.37916666666666671</v>
      </c>
      <c r="G36" s="1">
        <v>0.38524305555555549</v>
      </c>
      <c r="H36">
        <v>74</v>
      </c>
      <c r="I36">
        <v>10</v>
      </c>
      <c r="J36">
        <v>1</v>
      </c>
      <c r="K36">
        <v>104</v>
      </c>
      <c r="L36">
        <v>1510</v>
      </c>
      <c r="M36" t="s">
        <v>24</v>
      </c>
      <c r="N36" s="2">
        <f t="shared" si="7"/>
        <v>8.75</v>
      </c>
      <c r="O36" t="str">
        <f t="shared" si="8"/>
        <v>Normal</v>
      </c>
      <c r="P36" t="str">
        <f t="shared" si="9"/>
        <v>Normal/High Speed (&gt;=10 km/h)</v>
      </c>
      <c r="Q36" t="str">
        <f t="shared" si="10"/>
        <v>High CO2 (&gt;=1240 g/km)</v>
      </c>
      <c r="R36" t="str">
        <f t="shared" si="11"/>
        <v>Normal Speed &amp; High CO2</v>
      </c>
      <c r="S36">
        <f t="shared" si="12"/>
        <v>0</v>
      </c>
      <c r="T36">
        <f t="shared" si="13"/>
        <v>1</v>
      </c>
    </row>
    <row r="37" spans="1:20">
      <c r="A37" t="s">
        <v>72</v>
      </c>
      <c r="B37" t="s">
        <v>73</v>
      </c>
      <c r="C37" t="s">
        <v>22</v>
      </c>
      <c r="D37">
        <v>101</v>
      </c>
      <c r="E37" t="s">
        <v>23</v>
      </c>
      <c r="F37" s="1">
        <v>0.36458333333333331</v>
      </c>
      <c r="G37" s="1">
        <v>0.36689814814814808</v>
      </c>
      <c r="H37">
        <v>49</v>
      </c>
      <c r="I37">
        <v>15.1</v>
      </c>
      <c r="J37">
        <v>1</v>
      </c>
      <c r="K37">
        <v>89</v>
      </c>
      <c r="L37">
        <v>920</v>
      </c>
      <c r="M37" t="s">
        <v>32</v>
      </c>
      <c r="N37" s="2">
        <f t="shared" si="7"/>
        <v>3.33</v>
      </c>
      <c r="O37" t="str">
        <f t="shared" si="8"/>
        <v>Normal</v>
      </c>
      <c r="P37" t="str">
        <f t="shared" si="9"/>
        <v>Normal/High Speed (&gt;=10 km/h)</v>
      </c>
      <c r="Q37" t="str">
        <f t="shared" si="10"/>
        <v>Normal CO2 (&lt;1240 g/km)</v>
      </c>
      <c r="R37" t="str">
        <f t="shared" si="11"/>
        <v>Normal Speed &amp; Normal CO2</v>
      </c>
      <c r="S37">
        <f t="shared" si="12"/>
        <v>0</v>
      </c>
      <c r="T37">
        <f t="shared" si="13"/>
        <v>0</v>
      </c>
    </row>
    <row r="38" spans="1:20">
      <c r="A38" t="s">
        <v>74</v>
      </c>
      <c r="B38" t="s">
        <v>73</v>
      </c>
      <c r="C38" t="s">
        <v>22</v>
      </c>
      <c r="D38">
        <v>102</v>
      </c>
      <c r="E38" t="s">
        <v>26</v>
      </c>
      <c r="F38" s="1">
        <v>0.37013888888888891</v>
      </c>
      <c r="G38" s="1">
        <v>0.37430555555555561</v>
      </c>
      <c r="H38">
        <v>58</v>
      </c>
      <c r="I38">
        <v>9.3000000000000007</v>
      </c>
      <c r="J38">
        <v>1</v>
      </c>
      <c r="K38">
        <v>89</v>
      </c>
      <c r="L38">
        <v>920</v>
      </c>
      <c r="M38" t="s">
        <v>32</v>
      </c>
      <c r="N38" s="2">
        <f t="shared" si="7"/>
        <v>6</v>
      </c>
      <c r="O38" t="str">
        <f t="shared" si="8"/>
        <v>Bottle Neck</v>
      </c>
      <c r="P38" t="str">
        <f t="shared" si="9"/>
        <v>Low Speed (&lt;10 km/h)</v>
      </c>
      <c r="Q38" t="str">
        <f t="shared" si="10"/>
        <v>Normal CO2 (&lt;1240 g/km)</v>
      </c>
      <c r="R38" t="str">
        <f t="shared" si="11"/>
        <v>Low Speed &amp; Normal CO2</v>
      </c>
      <c r="S38">
        <f t="shared" si="12"/>
        <v>1</v>
      </c>
      <c r="T38">
        <f t="shared" si="13"/>
        <v>0</v>
      </c>
    </row>
    <row r="39" spans="1:20">
      <c r="A39" t="s">
        <v>75</v>
      </c>
      <c r="B39" t="s">
        <v>73</v>
      </c>
      <c r="C39" t="s">
        <v>22</v>
      </c>
      <c r="D39">
        <v>103</v>
      </c>
      <c r="E39" t="s">
        <v>28</v>
      </c>
      <c r="F39" s="1">
        <v>0.37708333333333333</v>
      </c>
      <c r="G39" s="1">
        <v>0.3828125</v>
      </c>
      <c r="H39">
        <v>72</v>
      </c>
      <c r="I39">
        <v>6.9</v>
      </c>
      <c r="J39">
        <v>1</v>
      </c>
      <c r="K39">
        <v>89</v>
      </c>
      <c r="L39">
        <v>920</v>
      </c>
      <c r="M39" t="s">
        <v>32</v>
      </c>
      <c r="N39" s="2">
        <f t="shared" si="7"/>
        <v>8.25</v>
      </c>
      <c r="O39" t="str">
        <f t="shared" si="8"/>
        <v>Bottle Neck</v>
      </c>
      <c r="P39" t="str">
        <f t="shared" si="9"/>
        <v>Low Speed (&lt;10 km/h)</v>
      </c>
      <c r="Q39" t="str">
        <f t="shared" si="10"/>
        <v>Normal CO2 (&lt;1240 g/km)</v>
      </c>
      <c r="R39" t="str">
        <f t="shared" si="11"/>
        <v>Low Speed &amp; Normal CO2</v>
      </c>
      <c r="S39">
        <f t="shared" si="12"/>
        <v>1</v>
      </c>
      <c r="T39">
        <f t="shared" si="13"/>
        <v>0</v>
      </c>
    </row>
    <row r="40" spans="1:20">
      <c r="A40" t="s">
        <v>76</v>
      </c>
      <c r="B40" t="s">
        <v>73</v>
      </c>
      <c r="C40" t="s">
        <v>22</v>
      </c>
      <c r="D40">
        <v>104</v>
      </c>
      <c r="E40" t="s">
        <v>34</v>
      </c>
      <c r="F40" s="1">
        <v>0.3840277777777778</v>
      </c>
      <c r="G40" s="1">
        <v>0.38923611111111112</v>
      </c>
      <c r="H40">
        <v>67</v>
      </c>
      <c r="I40">
        <v>10.199999999999999</v>
      </c>
      <c r="J40">
        <v>1</v>
      </c>
      <c r="K40">
        <v>89</v>
      </c>
      <c r="L40">
        <v>920</v>
      </c>
      <c r="M40" t="s">
        <v>32</v>
      </c>
      <c r="N40" s="2">
        <f t="shared" si="7"/>
        <v>7.5</v>
      </c>
      <c r="O40" t="str">
        <f t="shared" si="8"/>
        <v>Normal</v>
      </c>
      <c r="P40" t="str">
        <f t="shared" si="9"/>
        <v>Normal/High Speed (&gt;=10 km/h)</v>
      </c>
      <c r="Q40" t="str">
        <f t="shared" si="10"/>
        <v>Normal CO2 (&lt;1240 g/km)</v>
      </c>
      <c r="R40" t="str">
        <f t="shared" si="11"/>
        <v>Normal Speed &amp; Normal CO2</v>
      </c>
      <c r="S40">
        <f t="shared" si="12"/>
        <v>0</v>
      </c>
      <c r="T40">
        <f t="shared" si="13"/>
        <v>0</v>
      </c>
    </row>
    <row r="41" spans="1:20">
      <c r="A41" t="s">
        <v>77</v>
      </c>
      <c r="B41" t="s">
        <v>73</v>
      </c>
      <c r="C41" t="s">
        <v>22</v>
      </c>
      <c r="D41">
        <v>105</v>
      </c>
      <c r="E41" t="s">
        <v>36</v>
      </c>
      <c r="F41" s="1">
        <v>0.38958333333333328</v>
      </c>
      <c r="G41" s="1">
        <v>0.39374999999999999</v>
      </c>
      <c r="H41">
        <v>55</v>
      </c>
      <c r="I41">
        <v>15.5</v>
      </c>
      <c r="J41">
        <v>0</v>
      </c>
      <c r="K41">
        <v>89</v>
      </c>
      <c r="L41">
        <v>920</v>
      </c>
      <c r="M41" t="s">
        <v>32</v>
      </c>
      <c r="N41" s="2">
        <f t="shared" si="7"/>
        <v>6</v>
      </c>
      <c r="O41" t="str">
        <f t="shared" si="8"/>
        <v>Normal</v>
      </c>
      <c r="P41" t="str">
        <f t="shared" si="9"/>
        <v>Normal/High Speed (&gt;=10 km/h)</v>
      </c>
      <c r="Q41" t="str">
        <f t="shared" si="10"/>
        <v>Normal CO2 (&lt;1240 g/km)</v>
      </c>
      <c r="R41" t="str">
        <f t="shared" si="11"/>
        <v>Normal Speed &amp; Normal CO2</v>
      </c>
      <c r="S41">
        <f t="shared" si="12"/>
        <v>0</v>
      </c>
      <c r="T41">
        <f t="shared" si="13"/>
        <v>0</v>
      </c>
    </row>
    <row r="42" spans="1:20">
      <c r="A42" t="s">
        <v>78</v>
      </c>
      <c r="B42" t="s">
        <v>79</v>
      </c>
      <c r="C42" t="s">
        <v>31</v>
      </c>
      <c r="D42">
        <v>101</v>
      </c>
      <c r="E42" t="s">
        <v>23</v>
      </c>
      <c r="F42" s="1">
        <v>0.36805555555555558</v>
      </c>
      <c r="G42" s="1">
        <v>0.37025462962962957</v>
      </c>
      <c r="H42">
        <v>40</v>
      </c>
      <c r="I42">
        <v>16.8</v>
      </c>
      <c r="J42">
        <v>1</v>
      </c>
      <c r="K42">
        <v>91</v>
      </c>
      <c r="L42">
        <v>990</v>
      </c>
      <c r="M42" t="s">
        <v>32</v>
      </c>
      <c r="N42" s="2">
        <f t="shared" si="7"/>
        <v>3.17</v>
      </c>
      <c r="O42" t="str">
        <f t="shared" si="8"/>
        <v>Normal</v>
      </c>
      <c r="P42" t="str">
        <f t="shared" si="9"/>
        <v>Normal/High Speed (&gt;=10 km/h)</v>
      </c>
      <c r="Q42" t="str">
        <f t="shared" si="10"/>
        <v>Normal CO2 (&lt;1240 g/km)</v>
      </c>
      <c r="R42" t="str">
        <f t="shared" si="11"/>
        <v>Normal Speed &amp; Normal CO2</v>
      </c>
      <c r="S42">
        <f t="shared" si="12"/>
        <v>0</v>
      </c>
      <c r="T42">
        <f t="shared" si="13"/>
        <v>0</v>
      </c>
    </row>
    <row r="43" spans="1:20">
      <c r="A43" t="s">
        <v>80</v>
      </c>
      <c r="B43" t="s">
        <v>79</v>
      </c>
      <c r="C43" t="s">
        <v>31</v>
      </c>
      <c r="D43">
        <v>102</v>
      </c>
      <c r="E43" t="s">
        <v>26</v>
      </c>
      <c r="F43" s="1">
        <v>0.37361111111111112</v>
      </c>
      <c r="G43" s="1">
        <v>0.37847222222222221</v>
      </c>
      <c r="H43">
        <v>51</v>
      </c>
      <c r="I43">
        <v>10.1</v>
      </c>
      <c r="J43">
        <v>1</v>
      </c>
      <c r="K43">
        <v>91</v>
      </c>
      <c r="L43">
        <v>990</v>
      </c>
      <c r="M43" t="s">
        <v>32</v>
      </c>
      <c r="N43" s="2">
        <f t="shared" si="7"/>
        <v>7</v>
      </c>
      <c r="O43" t="str">
        <f t="shared" si="8"/>
        <v>Normal</v>
      </c>
      <c r="P43" t="str">
        <f t="shared" si="9"/>
        <v>Normal/High Speed (&gt;=10 km/h)</v>
      </c>
      <c r="Q43" t="str">
        <f t="shared" si="10"/>
        <v>Normal CO2 (&lt;1240 g/km)</v>
      </c>
      <c r="R43" t="str">
        <f t="shared" si="11"/>
        <v>Normal Speed &amp; Normal CO2</v>
      </c>
      <c r="S43">
        <f t="shared" si="12"/>
        <v>0</v>
      </c>
      <c r="T43">
        <f t="shared" si="13"/>
        <v>0</v>
      </c>
    </row>
    <row r="44" spans="1:20">
      <c r="A44" t="s">
        <v>81</v>
      </c>
      <c r="B44" t="s">
        <v>79</v>
      </c>
      <c r="C44" t="s">
        <v>31</v>
      </c>
      <c r="D44">
        <v>103</v>
      </c>
      <c r="E44" t="s">
        <v>28</v>
      </c>
      <c r="F44" s="1">
        <v>0.38055555555555548</v>
      </c>
      <c r="G44" s="1">
        <v>0.38645833333333329</v>
      </c>
      <c r="H44">
        <v>63</v>
      </c>
      <c r="I44">
        <v>7.8</v>
      </c>
      <c r="J44">
        <v>1</v>
      </c>
      <c r="K44">
        <v>91</v>
      </c>
      <c r="L44">
        <v>990</v>
      </c>
      <c r="M44" t="s">
        <v>32</v>
      </c>
      <c r="N44" s="2">
        <f t="shared" si="7"/>
        <v>8.5</v>
      </c>
      <c r="O44" t="str">
        <f t="shared" si="8"/>
        <v>Bottle Neck</v>
      </c>
      <c r="P44" t="str">
        <f t="shared" si="9"/>
        <v>Low Speed (&lt;10 km/h)</v>
      </c>
      <c r="Q44" t="str">
        <f t="shared" si="10"/>
        <v>Normal CO2 (&lt;1240 g/km)</v>
      </c>
      <c r="R44" t="str">
        <f t="shared" si="11"/>
        <v>Low Speed &amp; Normal CO2</v>
      </c>
      <c r="S44">
        <f t="shared" si="12"/>
        <v>1</v>
      </c>
      <c r="T44">
        <f t="shared" si="13"/>
        <v>0</v>
      </c>
    </row>
    <row r="45" spans="1:20">
      <c r="A45" t="s">
        <v>82</v>
      </c>
      <c r="B45" t="s">
        <v>79</v>
      </c>
      <c r="C45" t="s">
        <v>31</v>
      </c>
      <c r="D45">
        <v>104</v>
      </c>
      <c r="E45" t="s">
        <v>34</v>
      </c>
      <c r="F45" s="1">
        <v>0.38541666666666669</v>
      </c>
      <c r="G45" s="1">
        <v>0.39074074074074072</v>
      </c>
      <c r="H45">
        <v>59</v>
      </c>
      <c r="I45">
        <v>12.1</v>
      </c>
      <c r="J45">
        <v>0</v>
      </c>
      <c r="K45">
        <v>91</v>
      </c>
      <c r="L45">
        <v>990</v>
      </c>
      <c r="M45" t="s">
        <v>32</v>
      </c>
      <c r="N45" s="2">
        <f t="shared" si="7"/>
        <v>7.67</v>
      </c>
      <c r="O45" t="str">
        <f t="shared" si="8"/>
        <v>Normal</v>
      </c>
      <c r="P45" t="str">
        <f t="shared" si="9"/>
        <v>Normal/High Speed (&gt;=10 km/h)</v>
      </c>
      <c r="Q45" t="str">
        <f t="shared" si="10"/>
        <v>Normal CO2 (&lt;1240 g/km)</v>
      </c>
      <c r="R45" t="str">
        <f t="shared" si="11"/>
        <v>Normal Speed &amp; Normal CO2</v>
      </c>
      <c r="S45">
        <f t="shared" si="12"/>
        <v>0</v>
      </c>
      <c r="T45">
        <f t="shared" si="13"/>
        <v>0</v>
      </c>
    </row>
    <row r="46" spans="1:20">
      <c r="A46" t="s">
        <v>83</v>
      </c>
      <c r="B46" t="s">
        <v>79</v>
      </c>
      <c r="C46" t="s">
        <v>31</v>
      </c>
      <c r="D46">
        <v>105</v>
      </c>
      <c r="E46" t="s">
        <v>36</v>
      </c>
      <c r="F46" s="1">
        <v>0.39097222222222222</v>
      </c>
      <c r="G46" s="1">
        <v>0.39525462962962971</v>
      </c>
      <c r="H46">
        <v>48</v>
      </c>
      <c r="I46">
        <v>17.3</v>
      </c>
      <c r="J46">
        <v>0</v>
      </c>
      <c r="K46">
        <v>91</v>
      </c>
      <c r="L46">
        <v>990</v>
      </c>
      <c r="M46" t="s">
        <v>32</v>
      </c>
      <c r="N46" s="2">
        <f t="shared" si="7"/>
        <v>6.17</v>
      </c>
      <c r="O46" t="str">
        <f t="shared" si="8"/>
        <v>Normal</v>
      </c>
      <c r="P46" t="str">
        <f t="shared" si="9"/>
        <v>Normal/High Speed (&gt;=10 km/h)</v>
      </c>
      <c r="Q46" t="str">
        <f t="shared" si="10"/>
        <v>Normal CO2 (&lt;1240 g/km)</v>
      </c>
      <c r="R46" t="str">
        <f t="shared" si="11"/>
        <v>Normal Speed &amp; Normal CO2</v>
      </c>
      <c r="S46">
        <f t="shared" si="12"/>
        <v>0</v>
      </c>
      <c r="T46">
        <f t="shared" si="13"/>
        <v>0</v>
      </c>
    </row>
    <row r="47" spans="1:20">
      <c r="A47" t="s">
        <v>84</v>
      </c>
      <c r="B47" t="s">
        <v>85</v>
      </c>
      <c r="C47" t="s">
        <v>39</v>
      </c>
      <c r="D47">
        <v>101</v>
      </c>
      <c r="E47" t="s">
        <v>23</v>
      </c>
      <c r="F47" s="1">
        <v>0.375</v>
      </c>
      <c r="G47" s="1">
        <v>0.37795138888888891</v>
      </c>
      <c r="H47">
        <v>58</v>
      </c>
      <c r="I47">
        <v>11.2</v>
      </c>
      <c r="J47">
        <v>1</v>
      </c>
      <c r="K47">
        <v>96</v>
      </c>
      <c r="L47">
        <v>1180</v>
      </c>
      <c r="M47" t="s">
        <v>32</v>
      </c>
      <c r="N47" s="2">
        <f t="shared" si="7"/>
        <v>4.25</v>
      </c>
      <c r="O47" t="str">
        <f t="shared" si="8"/>
        <v>Normal</v>
      </c>
      <c r="P47" t="str">
        <f t="shared" si="9"/>
        <v>Normal/High Speed (&gt;=10 km/h)</v>
      </c>
      <c r="Q47" t="str">
        <f t="shared" si="10"/>
        <v>Normal CO2 (&lt;1240 g/km)</v>
      </c>
      <c r="R47" t="str">
        <f t="shared" si="11"/>
        <v>Normal Speed &amp; Normal CO2</v>
      </c>
      <c r="S47">
        <f t="shared" si="12"/>
        <v>0</v>
      </c>
      <c r="T47">
        <f t="shared" si="13"/>
        <v>0</v>
      </c>
    </row>
    <row r="48" spans="1:20">
      <c r="A48" t="s">
        <v>86</v>
      </c>
      <c r="B48" t="s">
        <v>85</v>
      </c>
      <c r="C48" t="s">
        <v>39</v>
      </c>
      <c r="D48">
        <v>102</v>
      </c>
      <c r="E48" t="s">
        <v>26</v>
      </c>
      <c r="F48" s="1">
        <v>0.38194444444444442</v>
      </c>
      <c r="G48" s="1">
        <v>0.38715277777777779</v>
      </c>
      <c r="H48">
        <v>68</v>
      </c>
      <c r="I48">
        <v>7.4</v>
      </c>
      <c r="J48">
        <v>1</v>
      </c>
      <c r="K48">
        <v>96</v>
      </c>
      <c r="L48">
        <v>1180</v>
      </c>
      <c r="M48" t="s">
        <v>32</v>
      </c>
      <c r="N48" s="2">
        <f t="shared" si="7"/>
        <v>7.5</v>
      </c>
      <c r="O48" t="str">
        <f t="shared" si="8"/>
        <v>Bottle Neck</v>
      </c>
      <c r="P48" t="str">
        <f t="shared" si="9"/>
        <v>Low Speed (&lt;10 km/h)</v>
      </c>
      <c r="Q48" t="str">
        <f t="shared" si="10"/>
        <v>Normal CO2 (&lt;1240 g/km)</v>
      </c>
      <c r="R48" t="str">
        <f t="shared" si="11"/>
        <v>Low Speed &amp; Normal CO2</v>
      </c>
      <c r="S48">
        <f t="shared" si="12"/>
        <v>1</v>
      </c>
      <c r="T48">
        <f t="shared" si="13"/>
        <v>0</v>
      </c>
    </row>
    <row r="49" spans="1:20">
      <c r="A49" t="s">
        <v>87</v>
      </c>
      <c r="B49" t="s">
        <v>85</v>
      </c>
      <c r="C49" t="s">
        <v>39</v>
      </c>
      <c r="D49">
        <v>103</v>
      </c>
      <c r="E49" t="s">
        <v>28</v>
      </c>
      <c r="F49" s="1">
        <v>0.3888888888888889</v>
      </c>
      <c r="G49" s="1">
        <v>0.39456018518518521</v>
      </c>
      <c r="H49">
        <v>71</v>
      </c>
      <c r="I49">
        <v>6.8</v>
      </c>
      <c r="J49">
        <v>1</v>
      </c>
      <c r="K49">
        <v>96</v>
      </c>
      <c r="L49">
        <v>1180</v>
      </c>
      <c r="M49" t="s">
        <v>32</v>
      </c>
      <c r="N49" s="2">
        <f t="shared" si="7"/>
        <v>8.17</v>
      </c>
      <c r="O49" t="str">
        <f t="shared" si="8"/>
        <v>Bottle Neck</v>
      </c>
      <c r="P49" t="str">
        <f t="shared" si="9"/>
        <v>Low Speed (&lt;10 km/h)</v>
      </c>
      <c r="Q49" t="str">
        <f t="shared" si="10"/>
        <v>Normal CO2 (&lt;1240 g/km)</v>
      </c>
      <c r="R49" t="str">
        <f t="shared" si="11"/>
        <v>Low Speed &amp; Normal CO2</v>
      </c>
      <c r="S49">
        <f t="shared" si="12"/>
        <v>1</v>
      </c>
      <c r="T49">
        <f t="shared" si="13"/>
        <v>0</v>
      </c>
    </row>
    <row r="50" spans="1:20">
      <c r="A50" t="s">
        <v>88</v>
      </c>
      <c r="B50" t="s">
        <v>85</v>
      </c>
      <c r="C50" t="s">
        <v>39</v>
      </c>
      <c r="D50">
        <v>104</v>
      </c>
      <c r="E50" t="s">
        <v>34</v>
      </c>
      <c r="F50" s="1">
        <v>0.39444444444444438</v>
      </c>
      <c r="G50" s="1">
        <v>0.39930555555555558</v>
      </c>
      <c r="H50">
        <v>63</v>
      </c>
      <c r="I50">
        <v>12.6</v>
      </c>
      <c r="J50">
        <v>0</v>
      </c>
      <c r="K50">
        <v>96</v>
      </c>
      <c r="L50">
        <v>1180</v>
      </c>
      <c r="M50" t="s">
        <v>32</v>
      </c>
      <c r="N50" s="2">
        <f t="shared" si="7"/>
        <v>7</v>
      </c>
      <c r="O50" t="str">
        <f t="shared" si="8"/>
        <v>Normal</v>
      </c>
      <c r="P50" t="str">
        <f t="shared" si="9"/>
        <v>Normal/High Speed (&gt;=10 km/h)</v>
      </c>
      <c r="Q50" t="str">
        <f t="shared" si="10"/>
        <v>Normal CO2 (&lt;1240 g/km)</v>
      </c>
      <c r="R50" t="str">
        <f t="shared" si="11"/>
        <v>Normal Speed &amp; Normal CO2</v>
      </c>
      <c r="S50">
        <f t="shared" si="12"/>
        <v>0</v>
      </c>
      <c r="T50">
        <f t="shared" si="13"/>
        <v>0</v>
      </c>
    </row>
    <row r="51" spans="1:20">
      <c r="A51" t="s">
        <v>89</v>
      </c>
      <c r="B51" t="s">
        <v>85</v>
      </c>
      <c r="C51" t="s">
        <v>39</v>
      </c>
      <c r="D51">
        <v>105</v>
      </c>
      <c r="E51" t="s">
        <v>36</v>
      </c>
      <c r="F51" s="1">
        <v>0.4</v>
      </c>
      <c r="G51" s="1">
        <v>0.40370370370370368</v>
      </c>
      <c r="H51">
        <v>50</v>
      </c>
      <c r="I51">
        <v>18</v>
      </c>
      <c r="J51">
        <v>0</v>
      </c>
      <c r="K51">
        <v>96</v>
      </c>
      <c r="L51">
        <v>1180</v>
      </c>
      <c r="M51" t="s">
        <v>32</v>
      </c>
      <c r="N51" s="2">
        <f t="shared" si="7"/>
        <v>5.33</v>
      </c>
      <c r="O51" t="str">
        <f t="shared" si="8"/>
        <v>Normal</v>
      </c>
      <c r="P51" t="str">
        <f t="shared" si="9"/>
        <v>Normal/High Speed (&gt;=10 km/h)</v>
      </c>
      <c r="Q51" t="str">
        <f t="shared" si="10"/>
        <v>Normal CO2 (&lt;1240 g/km)</v>
      </c>
      <c r="R51" t="str">
        <f t="shared" si="11"/>
        <v>Normal Speed &amp; Normal CO2</v>
      </c>
      <c r="S51">
        <f t="shared" si="12"/>
        <v>0</v>
      </c>
      <c r="T51">
        <f t="shared" si="1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B1" sqref="B1"/>
    </sheetView>
  </sheetViews>
  <sheetFormatPr baseColWidth="10" defaultRowHeight="16"/>
  <cols>
    <col min="1" max="1" width="26" customWidth="1"/>
    <col min="2" max="3" width="22" customWidth="1"/>
    <col min="4" max="6" width="12" customWidth="1"/>
  </cols>
  <sheetData>
    <row r="1" spans="1:6" ht="19">
      <c r="A1" s="4" t="s">
        <v>90</v>
      </c>
    </row>
    <row r="3" spans="1:6">
      <c r="A3" s="5" t="s">
        <v>91</v>
      </c>
    </row>
    <row r="5" spans="1:6" ht="34">
      <c r="A5" s="6" t="s">
        <v>92</v>
      </c>
      <c r="B5" s="6" t="s">
        <v>93</v>
      </c>
      <c r="C5" s="6" t="s">
        <v>94</v>
      </c>
      <c r="D5" s="6" t="s">
        <v>95</v>
      </c>
    </row>
    <row r="6" spans="1:6">
      <c r="A6" t="s">
        <v>96</v>
      </c>
      <c r="B6">
        <f>COUNTIFS(bus_combined!$I$2:$I$51,"&lt;10",bus_combined!$L$2:$L$51,"&gt;=1240")</f>
        <v>12</v>
      </c>
      <c r="C6">
        <f>COUNTIFS(bus_combined!$I$2:$I$51,"&lt;10",bus_combined!$L$2:$L$51,"&lt;1240")</f>
        <v>8</v>
      </c>
      <c r="D6">
        <f>SUM(B6:C6)</f>
        <v>20</v>
      </c>
    </row>
    <row r="7" spans="1:6">
      <c r="A7" t="s">
        <v>97</v>
      </c>
      <c r="B7">
        <f>COUNTIFS(bus_combined!$I$2:$I$51,"&gt;=10",bus_combined!$L$2:$L$51,"&gt;=1240")</f>
        <v>8</v>
      </c>
      <c r="C7">
        <f>COUNTIFS(bus_combined!$I$2:$I$51,"&gt;=10",bus_combined!$L$2:$L$51,"&lt;1240")</f>
        <v>22</v>
      </c>
      <c r="D7">
        <f>SUM(B7:C7)</f>
        <v>30</v>
      </c>
    </row>
    <row r="8" spans="1:6">
      <c r="A8" s="5" t="s">
        <v>95</v>
      </c>
      <c r="B8" s="5">
        <f>SUM(B6:B7)</f>
        <v>20</v>
      </c>
      <c r="C8" s="5">
        <f>SUM(C6:C7)</f>
        <v>30</v>
      </c>
      <c r="D8" s="5">
        <f>SUM(D6:D7)</f>
        <v>50</v>
      </c>
    </row>
    <row r="10" spans="1:6">
      <c r="A10" t="s">
        <v>98</v>
      </c>
      <c r="B10" s="7">
        <f>IFERROR(B6/D6,0)</f>
        <v>0.6</v>
      </c>
    </row>
    <row r="11" spans="1:6">
      <c r="A11" t="s">
        <v>99</v>
      </c>
      <c r="B11" s="7">
        <f>IFERROR(B7/D7,0)</f>
        <v>0.26666666666666666</v>
      </c>
    </row>
    <row r="13" spans="1:6">
      <c r="A13" s="5" t="s">
        <v>100</v>
      </c>
      <c r="B13" s="8">
        <f>CORREL(bus_combined!I2:I51,bus_combined!L2:L51)</f>
        <v>-0.5026513330586001</v>
      </c>
    </row>
    <row r="15" spans="1:6">
      <c r="A15" s="9" t="s">
        <v>101</v>
      </c>
      <c r="B15" s="10"/>
      <c r="C15" s="10"/>
      <c r="D15" s="10"/>
      <c r="E15" s="10"/>
      <c r="F15" s="10"/>
    </row>
    <row r="16" spans="1:6">
      <c r="A16" s="10"/>
      <c r="B16" s="10"/>
      <c r="C16" s="10"/>
      <c r="D16" s="10"/>
      <c r="E16" s="10"/>
      <c r="F16" s="10"/>
    </row>
    <row r="17" spans="1:6">
      <c r="A17" s="10"/>
      <c r="B17" s="10"/>
      <c r="C17" s="10"/>
      <c r="D17" s="10"/>
      <c r="E17" s="10"/>
      <c r="F17" s="10"/>
    </row>
  </sheetData>
  <mergeCells count="1">
    <mergeCell ref="A15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bus_combined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Gómez</dc:creator>
  <cp:lastModifiedBy>Eric Gómez</cp:lastModifiedBy>
  <dcterms:created xsi:type="dcterms:W3CDTF">2026-08-14T20:11:55Z</dcterms:created>
  <dcterms:modified xsi:type="dcterms:W3CDTF">2026-08-14T22:05:34Z</dcterms:modified>
</cp:coreProperties>
</file>